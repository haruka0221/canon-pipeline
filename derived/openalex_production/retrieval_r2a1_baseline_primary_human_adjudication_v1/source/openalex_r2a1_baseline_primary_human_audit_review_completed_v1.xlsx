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Lists" sheetId="2" state="visible" r:id="rId4"/>
    <sheet name="Audit 01" sheetId="3" state="visible" r:id="rId5"/>
    <sheet name="Audit 02" sheetId="4" state="visible" r:id="rId6"/>
    <sheet name="Audit 03" sheetId="5" state="visible" r:id="rId7"/>
    <sheet name="Audit 04" sheetId="6" state="visible" r:id="rId8"/>
    <sheet name="Audit 05" sheetId="7" state="visible" r:id="rId9"/>
    <sheet name="Audit 06" sheetId="8" state="visible" r:id="rId10"/>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<sst xmlns="http://schemas.openxmlformats.org/spreadsheetml/2006/main" count="2176" uniqueCount="1251">
  <si>
    <t xml:space="preserve">OpenAlex R2+A1 Baseline — Blind Human Audit</t>
  </si>
  <si>
    <r>
      <rPr>
        <b val="true"/>
        <sz val="11"/>
        <rFont val="Noto Sans CJK SC"/>
        <family val="2"/>
      </rPr>
      <t xml:space="preserve">目的：各 </t>
    </r>
    <r>
      <rPr>
        <b val="true"/>
        <sz val="11"/>
        <rFont val="Calibri"/>
        <family val="0"/>
        <charset val="1"/>
      </rPr>
      <t xml:space="preserve">OpenAlex record </t>
    </r>
    <r>
      <rPr>
        <b val="true"/>
        <sz val="11"/>
        <rFont val="Noto Sans CJK SC"/>
        <family val="2"/>
      </rPr>
      <t xml:space="preserve">が、指定された </t>
    </r>
    <r>
      <rPr>
        <b val="true"/>
        <sz val="11"/>
        <rFont val="Calibri"/>
        <family val="0"/>
        <charset val="1"/>
      </rPr>
      <t xml:space="preserve">target literary work </t>
    </r>
    <r>
      <rPr>
        <b val="true"/>
        <sz val="11"/>
        <rFont val="Noto Sans CJK SC"/>
        <family val="2"/>
      </rPr>
      <t xml:space="preserve">を実際に参照しているかを、</t>
    </r>
    <r>
      <rPr>
        <b val="true"/>
        <sz val="11"/>
        <rFont val="Calibri"/>
        <family val="0"/>
        <charset val="1"/>
      </rPr>
      <t xml:space="preserve">LLM</t>
    </r>
    <r>
      <rPr>
        <b val="true"/>
        <sz val="11"/>
        <rFont val="Noto Sans CJK SC"/>
        <family val="2"/>
      </rPr>
      <t xml:space="preserve">判定を見ずに監査します。</t>
    </r>
  </si>
  <si>
    <t xml:space="preserve">判定</t>
  </si>
  <si>
    <t xml:space="preserve">意味</t>
  </si>
  <si>
    <t xml:space="preserve">Review rules</t>
  </si>
  <si>
    <t xml:space="preserve">VALID_TARGET_REFERENCE</t>
  </si>
  <si>
    <t xml:space="preserve">表示された情報から、対象作品への参照が十分に確認できる。</t>
  </si>
  <si>
    <t xml:space="preserve">1</t>
  </si>
  <si>
    <r>
      <rPr>
        <sz val="11"/>
        <rFont val="Calibri"/>
        <family val="0"/>
        <charset val="1"/>
      </rPr>
      <t xml:space="preserve">Web</t>
    </r>
    <r>
      <rPr>
        <sz val="11"/>
        <rFont val="Noto Sans CJK SC"/>
        <family val="2"/>
      </rPr>
      <t xml:space="preserve">検索はしない。</t>
    </r>
  </si>
  <si>
    <t xml:space="preserve">INVALID_TARGET_REFERENCE</t>
  </si>
  <si>
    <t xml:space="preserve">表示された情報から、対象作品への参照ではないと確認できる。</t>
  </si>
  <si>
    <t xml:space="preserve">2</t>
  </si>
  <si>
    <r>
      <rPr>
        <sz val="11"/>
        <rFont val="Calibri"/>
        <family val="0"/>
        <charset val="1"/>
      </rPr>
      <t xml:space="preserve">LLM</t>
    </r>
    <r>
      <rPr>
        <sz val="11"/>
        <rFont val="Noto Sans CJK SC"/>
        <family val="2"/>
      </rPr>
      <t xml:space="preserve">の</t>
    </r>
    <r>
      <rPr>
        <sz val="11"/>
        <rFont val="Calibri"/>
        <family val="0"/>
        <charset val="1"/>
      </rPr>
      <t xml:space="preserve">candidate-level</t>
    </r>
    <r>
      <rPr>
        <sz val="11"/>
        <rFont val="Noto Sans CJK SC"/>
        <family val="2"/>
      </rPr>
      <t xml:space="preserve">判定・</t>
    </r>
    <r>
      <rPr>
        <sz val="11"/>
        <rFont val="Calibri"/>
        <family val="0"/>
        <charset val="1"/>
      </rPr>
      <t xml:space="preserve">sampling stratum</t>
    </r>
    <r>
      <rPr>
        <sz val="11"/>
        <rFont val="Noto Sans CJK SC"/>
        <family val="2"/>
      </rPr>
      <t xml:space="preserve">・</t>
    </r>
    <r>
      <rPr>
        <sz val="11"/>
        <rFont val="Calibri"/>
        <family val="0"/>
        <charset val="1"/>
      </rPr>
      <t xml:space="preserve">risk feature</t>
    </r>
    <r>
      <rPr>
        <sz val="11"/>
        <rFont val="Noto Sans CJK SC"/>
        <family val="2"/>
      </rPr>
      <t xml:space="preserve">は見ない。</t>
    </r>
  </si>
  <si>
    <t xml:space="preserve">UNCERTAIN</t>
  </si>
  <si>
    <r>
      <rPr>
        <sz val="11"/>
        <rFont val="Noto Sans CJK SC"/>
        <family val="2"/>
      </rPr>
      <t xml:space="preserve">表示された情報だけでは </t>
    </r>
    <r>
      <rPr>
        <sz val="11"/>
        <rFont val="Calibri"/>
        <family val="0"/>
        <charset val="1"/>
      </rPr>
      <t xml:space="preserve">valid / invalid </t>
    </r>
    <r>
      <rPr>
        <sz val="11"/>
        <rFont val="Noto Sans CJK SC"/>
        <family val="2"/>
      </rPr>
      <t xml:space="preserve">を確実に決められない。</t>
    </r>
  </si>
  <si>
    <t xml:space="preserve">3</t>
  </si>
  <si>
    <r>
      <rPr>
        <sz val="11"/>
        <rFont val="Calibri"/>
        <family val="0"/>
        <charset val="1"/>
      </rPr>
      <t xml:space="preserve">substantive analysis </t>
    </r>
    <r>
      <rPr>
        <sz val="11"/>
        <rFont val="Noto Sans CJK SC"/>
        <family val="2"/>
      </rPr>
      <t xml:space="preserve">の有無ではなく、</t>
    </r>
    <r>
      <rPr>
        <sz val="11"/>
        <rFont val="Calibri"/>
        <family val="0"/>
        <charset val="1"/>
      </rPr>
      <t xml:space="preserve">target work</t>
    </r>
    <r>
      <rPr>
        <sz val="11"/>
        <rFont val="Noto Sans CJK SC"/>
        <family val="2"/>
      </rPr>
      <t xml:space="preserve">への参照そのものを判定する。</t>
    </r>
  </si>
  <si>
    <t xml:space="preserve">4</t>
  </si>
  <si>
    <r>
      <rPr>
        <sz val="11"/>
        <rFont val="Calibri"/>
        <family val="0"/>
        <charset val="1"/>
      </rPr>
      <t xml:space="preserve">primary text / bibliography / review / brief mention </t>
    </r>
    <r>
      <rPr>
        <sz val="11"/>
        <rFont val="Noto Sans CJK SC"/>
        <family val="2"/>
      </rPr>
      <t xml:space="preserve">でも、</t>
    </r>
    <r>
      <rPr>
        <sz val="11"/>
        <rFont val="Calibri"/>
        <family val="0"/>
        <charset val="1"/>
      </rPr>
      <t xml:space="preserve">target work</t>
    </r>
    <r>
      <rPr>
        <sz val="11"/>
        <rFont val="Noto Sans CJK SC"/>
        <family val="2"/>
      </rPr>
      <t xml:space="preserve">を実際に指せば</t>
    </r>
    <r>
      <rPr>
        <sz val="11"/>
        <rFont val="Calibri"/>
        <family val="0"/>
        <charset val="1"/>
      </rPr>
      <t xml:space="preserve">VALID</t>
    </r>
    <r>
      <rPr>
        <sz val="11"/>
        <rFont val="Noto Sans CJK SC"/>
        <family val="2"/>
      </rPr>
      <t xml:space="preserve">になり得る。</t>
    </r>
  </si>
  <si>
    <t xml:space="preserve">5</t>
  </si>
  <si>
    <r>
      <rPr>
        <sz val="11"/>
        <rFont val="Calibri"/>
        <family val="0"/>
        <charset val="1"/>
      </rPr>
      <t xml:space="preserve">INVALID / UNCERTAIN </t>
    </r>
    <r>
      <rPr>
        <sz val="11"/>
        <rFont val="Noto Sans CJK SC"/>
        <family val="2"/>
      </rPr>
      <t xml:space="preserve">は </t>
    </r>
    <r>
      <rPr>
        <sz val="11"/>
        <rFont val="Calibri"/>
        <family val="0"/>
        <charset val="1"/>
      </rPr>
      <t xml:space="preserve">Reviewer note </t>
    </r>
    <r>
      <rPr>
        <sz val="11"/>
        <rFont val="Noto Sans CJK SC"/>
        <family val="2"/>
      </rPr>
      <t xml:space="preserve">に短い根拠を書く。</t>
    </r>
  </si>
  <si>
    <t xml:space="preserve">Batch</t>
  </si>
  <si>
    <t xml:space="preserve">Completed</t>
  </si>
  <si>
    <t xml:space="preserve">VALID</t>
  </si>
  <si>
    <t xml:space="preserve">INVALID</t>
  </si>
  <si>
    <t xml:space="preserve">Total</t>
  </si>
  <si>
    <t xml:space="preserve">Audit 01</t>
  </si>
  <si>
    <t xml:space="preserve">Audit 02</t>
  </si>
  <si>
    <t xml:space="preserve">Audit 03</t>
  </si>
  <si>
    <t xml:space="preserve">Audit 04</t>
  </si>
  <si>
    <t xml:space="preserve">Audit 05</t>
  </si>
  <si>
    <t xml:space="preserve">Audit 06</t>
  </si>
  <si>
    <t xml:space="preserve">TOTAL</t>
  </si>
  <si>
    <t xml:space="preserve">Judgment</t>
  </si>
  <si>
    <t xml:space="preserve">Reason code</t>
  </si>
  <si>
    <t xml:space="preserve">Meaning</t>
  </si>
  <si>
    <t xml:space="preserve">DIRECT_TARGET_REFERENCE</t>
  </si>
  <si>
    <t xml:space="preserve">Explicit title/work + author linkage identifies the target.</t>
  </si>
  <si>
    <t xml:space="preserve">VALID_TITLE_VARIANT</t>
  </si>
  <si>
    <t xml:space="preserve">Supported alternate/shortened/translated title denotes the same target.</t>
  </si>
  <si>
    <t xml:space="preserve">VALID_CONTEXTUAL_REFERENCE</t>
  </si>
  <si>
    <t xml:space="preserve">Context sufficiently identifies the target without direct bibliographic naming.</t>
  </si>
  <si>
    <t xml:space="preserve">TITLE_COLLISION_DIFFERENT_WORK</t>
  </si>
  <si>
    <t xml:space="preserve">Matching title denotes a different work.</t>
  </si>
  <si>
    <t xml:space="preserve">GENERIC_OR_LEXICAL_TITLE_USE</t>
  </si>
  <si>
    <t xml:space="preserve">Matched expression is ordinary/generic language, not the target title.</t>
  </si>
  <si>
    <t xml:space="preserve">AUTHOR_COLLISION_DIFFERENT_PERSON</t>
  </si>
  <si>
    <t xml:space="preserve">Matched author name denotes another person.</t>
  </si>
  <si>
    <t xml:space="preserve">TITLE_AUTHOR_UNLINKED_COOCCURRENCE</t>
  </si>
  <si>
    <t xml:space="preserve">Title expression and author appear but are not semantically linked as the target.</t>
  </si>
  <si>
    <t xml:space="preserve">WRONG_WORK_SAME_AUTHOR</t>
  </si>
  <si>
    <t xml:space="preserve">A different work by the same author is identified.</t>
  </si>
  <si>
    <t xml:space="preserve">ALIAS_NOT_TARGET_EQUIVALENT</t>
  </si>
  <si>
    <t xml:space="preserve">The apparent target/title relationship is not the same underlying work.</t>
  </si>
  <si>
    <t xml:space="preserve">METADATA_TEXT_ARTIFACT</t>
  </si>
  <si>
    <t xml:space="preserve">A metadata/text artifact causes the false match.</t>
  </si>
  <si>
    <t xml:space="preserve">OTHER</t>
  </si>
  <si>
    <t xml:space="preserve">Established invalidity outside the listed reasons; explain in note.</t>
  </si>
  <si>
    <t xml:space="preserve">INSUFFICIENT_CONTEXT</t>
  </si>
  <si>
    <t xml:space="preserve">Evidence is inadequate, without a specific competing identity.</t>
  </si>
  <si>
    <t xml:space="preserve">AMBIGUOUS_TARGET_REFERENCE</t>
  </si>
  <si>
    <t xml:space="preserve">Specific competing work identities remain unresolved.</t>
  </si>
  <si>
    <t xml:space="preserve">Provenance / safeguards</t>
  </si>
  <si>
    <t xml:space="preserve">Frozen human-audit sample</t>
  </si>
  <si>
    <t xml:space="preserve">150 candidates / 90 project works / 6 batches × 25</t>
  </si>
  <si>
    <t xml:space="preserve">Repository branch</t>
  </si>
  <si>
    <t xml:space="preserve">kakenc-integration-20260927</t>
  </si>
  <si>
    <t xml:space="preserve">Frozen packet commit</t>
  </si>
  <si>
    <t xml:space="preserve">6260c82f9883762b46a3b4384e70d037278ac886</t>
  </si>
  <si>
    <t xml:space="preserve">Blinding</t>
  </si>
  <si>
    <t xml:space="preserve">LLM candidate judgments, LLM strata, analysis weights, and retrieval-risk features are absent from this workbook.</t>
  </si>
  <si>
    <t xml:space="preserve">Confidence</t>
  </si>
  <si>
    <t xml:space="preserve">Do not edit — validation source lists.</t>
  </si>
  <si>
    <t xml:space="preserve">HIGH</t>
  </si>
  <si>
    <t xml:space="preserve">MEDIUM</t>
  </si>
  <si>
    <t xml:space="preserve">LOW</t>
  </si>
  <si>
    <t xml:space="preserve">OpenAlex R2+A1 Blind Human Audit — R2A1A01</t>
  </si>
  <si>
    <r>
      <rPr>
        <i val="true"/>
        <sz val="11"/>
        <rFont val="Noto Sans CJK SC"/>
        <family val="2"/>
      </rPr>
      <t xml:space="preserve">判定対象：</t>
    </r>
    <r>
      <rPr>
        <i val="true"/>
        <sz val="11"/>
        <rFont val="Calibri"/>
        <family val="0"/>
        <charset val="1"/>
      </rPr>
      <t xml:space="preserve">OpenAlex record </t>
    </r>
    <r>
      <rPr>
        <i val="true"/>
        <sz val="11"/>
        <rFont val="Noto Sans CJK SC"/>
        <family val="2"/>
      </rPr>
      <t xml:space="preserve">が </t>
    </r>
    <r>
      <rPr>
        <i val="true"/>
        <sz val="11"/>
        <rFont val="Calibri"/>
        <family val="0"/>
        <charset val="1"/>
      </rPr>
      <t xml:space="preserve">target literary work </t>
    </r>
    <r>
      <rPr>
        <i val="true"/>
        <sz val="11"/>
        <rFont val="Noto Sans CJK SC"/>
        <family val="2"/>
      </rPr>
      <t xml:space="preserve">を本当に参照しているか。</t>
    </r>
    <r>
      <rPr>
        <i val="true"/>
        <sz val="11"/>
        <rFont val="Calibri"/>
        <family val="0"/>
        <charset val="1"/>
      </rPr>
      <t xml:space="preserve">LLM</t>
    </r>
    <r>
      <rPr>
        <i val="true"/>
        <sz val="11"/>
        <rFont val="Noto Sans CJK SC"/>
        <family val="2"/>
      </rPr>
      <t xml:space="preserve">判定・</t>
    </r>
    <r>
      <rPr>
        <i val="true"/>
        <sz val="11"/>
        <rFont val="Calibri"/>
        <family val="0"/>
        <charset val="1"/>
      </rPr>
      <t xml:space="preserve">sampling stratum</t>
    </r>
    <r>
      <rPr>
        <i val="true"/>
        <sz val="11"/>
        <rFont val="Noto Sans CJK SC"/>
        <family val="2"/>
      </rPr>
      <t xml:space="preserve">・</t>
    </r>
    <r>
      <rPr>
        <i val="true"/>
        <sz val="11"/>
        <rFont val="Calibri"/>
        <family val="0"/>
        <charset val="1"/>
      </rPr>
      <t xml:space="preserve">risk feature</t>
    </r>
    <r>
      <rPr>
        <i val="true"/>
        <sz val="11"/>
        <rFont val="Noto Sans CJK SC"/>
        <family val="2"/>
      </rPr>
      <t xml:space="preserve">は非表示です。</t>
    </r>
    <r>
      <rPr>
        <i val="true"/>
        <sz val="11"/>
        <rFont val="Calibri"/>
        <family val="0"/>
        <charset val="1"/>
      </rPr>
      <t xml:space="preserve">Web</t>
    </r>
    <r>
      <rPr>
        <i val="true"/>
        <sz val="11"/>
        <rFont val="Noto Sans CJK SC"/>
        <family val="2"/>
      </rPr>
      <t xml:space="preserve">検索はしません。</t>
    </r>
  </si>
  <si>
    <t xml:space="preserve">入力欄 →</t>
  </si>
  <si>
    <t xml:space="preserve">Reason</t>
  </si>
  <si>
    <t xml:space="preserve">Reviewer note</t>
  </si>
  <si>
    <t xml:space="preserve">Review #</t>
  </si>
  <si>
    <t xml:space="preserve">Target title</t>
  </si>
  <si>
    <t xml:space="preserve">Target author</t>
  </si>
  <si>
    <t xml:space="preserve">OpenAlex record title</t>
  </si>
  <si>
    <t xml:space="preserve">OpenAlex abstract</t>
  </si>
  <si>
    <t xml:space="preserve">Year</t>
  </si>
  <si>
    <t xml:space="preserve">Publication date</t>
  </si>
  <si>
    <t xml:space="preserve">DOI</t>
  </si>
  <si>
    <t xml:space="preserve">Candidate ID</t>
  </si>
  <si>
    <t xml:space="preserve">Project Work ID</t>
  </si>
  <si>
    <t xml:space="preserve">OpenAlex Work ID</t>
  </si>
  <si>
    <t xml:space="preserve">Henry James</t>
  </si>
  <si>
    <t xml:space="preserve">Naming the father: legacies, genealogies, and explorations of fatherhood in modern and contemporary literature</t>
  </si>
  <si>
    <t xml:space="preserve">chapter 1 Acknowledgments chapter 2 Introduction: Naming the Dead chapter 3 Part One: in Memory. Business of Mourning chapter 4 Two Fingers of Chat chapter 5 Culture of My Childhood. Part Two: Fathers in Ethnic Culture. Performative Fathers and the Inessential Macho: Fatherhood in Contemporary Latino/Latina Literature chapter 6 Negations and Subversions of Paternal Authorities in Glissant's Fictional Works (Le Quatrime Sicle, La Case du commandeur, Tout-monde) chapter 7 Holy and Unholy Ghosts: Legacy of the in the Plays of August Wilson. Part Three: Fathers and Daughters. Legacy of The Unspeakable Father in Henry James's Wings of the Dove chapter 8 Generating Alternative Representations of Fatherhood: Anzia Yezierska and Dorothy Canfield Fisher's Narrative Spaces for Male Others chapter 9 Daughters of Memory: Modernist Poet as Father. Part Four: Beyond the Father. Oedipus and the Modernist Aesthetic: Reconceiving the Social in Rebecca West's Return of the Soldier chapter 10 Naming the Father: Genealogy, Spectacle, and Jack Nicholson in Going Native chapter 11 Original Chaos Restored: Paternal Fictions in William S. Burroughs chapter 12 Works Cited chapter 13 Index</t>
  </si>
  <si>
    <t xml:space="preserve">2001.0</t>
  </si>
  <si>
    <t xml:space="preserve">2001-01-01</t>
  </si>
  <si>
    <t xml:space="preserve">https://doi.org/10.5860/choice.38-2616</t>
  </si>
  <si>
    <r>
      <rPr>
        <sz val="10"/>
        <rFont val="Noto Sans CJK SC"/>
        <family val="2"/>
      </rPr>
      <t xml:space="preserve">著者名ターゲット：</t>
    </r>
    <r>
      <rPr>
        <sz val="10"/>
        <rFont val="Calibri"/>
        <family val="0"/>
        <charset val="1"/>
      </rPr>
      <t xml:space="preserve">Wings of the Dove </t>
    </r>
    <r>
      <rPr>
        <sz val="10"/>
        <rFont val="Noto Sans CJK SC"/>
        <family val="2"/>
      </rPr>
      <t xml:space="preserve">を扱う章あり</t>
    </r>
  </si>
  <si>
    <t xml:space="preserve">OABASEV1_fff0b83e8226a6c7</t>
  </si>
  <si>
    <t xml:space="preserve">W000014024</t>
  </si>
  <si>
    <t xml:space="preserve">W2953498596</t>
  </si>
  <si>
    <t xml:space="preserve">The years</t>
  </si>
  <si>
    <t xml:space="preserve">Virginia Woolf</t>
  </si>
  <si>
    <t xml:space="preserve">Beyond the Five Towns: a re-evaluation of Arnold Bennett</t>
  </si>
  <si>
    <t xml:space="preserve">‘I have a great deal to say, and I mean to say it. As for my work being taken seriously, we shall see about that’. 
Arnold Bennett, 1909 
(Bennett, letter to Pinker dated 17 May 1909, in Letters, Vol. I, p. 123.) 
Arnold Bennett occupies a somewhat anomalous position as an Edwardian realist in a century dominated by modernist aesthetics. Pigeonholed by critics who have tended to adopt an overly formalist approach when considering his fiction, Bennett’s critical acclaim has predominantly been restricted to his Five Towns novels and has been advocated through readings which arrogate to him a slavish homage to nineteenth-century French naturalism and a quasi-documentary representation of particular locales. This dissertation aims to challenge Bennett’s categorisation as a merely provincial author, and as an Edwardian deserving of the canonical segregation initially proposed by Virginia Woolf, which separates his work from – and subordinates it to – that of his early twentieth-century or early Modernist contemporaries. To this end, I will demonstrate that Bennett was in fact, readily incorporating early twentieth-century themes and techniques, and actively engaging with various aspects of individual, social and national politics in comparable ways to other Modernists. I will also contend – contrary to critics who have regarded the war as having killed Bennett’s creativity – that the war occasioned a shift in Bennett’s agenda that, though not appreciated in his time or in the years after his death, is now in need of re-evaluation. 
With respect to methodology, this dissertation contextualises Bennett’s artistic strategies in light of early twentieth-century aesthetic concerns, and it demonstrates that his prose techniques serve social and/or political purposes. The thesis is divided into three chapters, each of which explores a stage of Bennett’s literary career. Chapter I covers 1898, the year of publication for Bennett’s first novel, The Man from the North, to 1913, also analysing A Great Man (1904) and Buried Alive (1908). Chapter II attends to Bennett’s fictional and non-fictional writings of the War years, including The Roll-Call (1919) – which begins in 1901 and culminates in 1914 – Liberty (1914), and Over There (1915). Chapter III examines Bennett’s writing from 1919 onwards, focusing on three novels: Riceyman Steps (1923), Lord Raingo (1926), and Accident (1929).</t>
  </si>
  <si>
    <t xml:space="preserve">2020.0</t>
  </si>
  <si>
    <t xml:space="preserve">2020-03-01</t>
  </si>
  <si>
    <r>
      <rPr>
        <sz val="10"/>
        <rFont val="Calibri"/>
        <family val="0"/>
        <charset val="1"/>
      </rPr>
      <t xml:space="preserve">Woolf</t>
    </r>
    <r>
      <rPr>
        <sz val="10"/>
        <rFont val="Noto Sans CJK SC"/>
        <family val="2"/>
      </rPr>
      <t xml:space="preserve">は言及されるが「</t>
    </r>
    <r>
      <rPr>
        <sz val="10"/>
        <rFont val="Calibri"/>
        <family val="0"/>
        <charset val="1"/>
      </rPr>
      <t xml:space="preserve">The Years</t>
    </r>
    <r>
      <rPr>
        <sz val="10"/>
        <rFont val="Noto Sans CJK SC"/>
        <family val="2"/>
      </rPr>
      <t xml:space="preserve">」は未言及。</t>
    </r>
    <r>
      <rPr>
        <sz val="10"/>
        <rFont val="Calibri"/>
        <family val="0"/>
        <charset val="1"/>
      </rPr>
      <t xml:space="preserve">"the years after his death"</t>
    </r>
    <r>
      <rPr>
        <sz val="10"/>
        <rFont val="Noto Sans CJK SC"/>
        <family val="2"/>
      </rPr>
      <t xml:space="preserve">は一般語</t>
    </r>
  </si>
  <si>
    <t xml:space="preserve">OABASEV1_5b3983b28a67c900</t>
  </si>
  <si>
    <t xml:space="preserve">W000018226</t>
  </si>
  <si>
    <t xml:space="preserve">W6989607625</t>
  </si>
  <si>
    <t xml:space="preserve">Santa</t>
  </si>
  <si>
    <t xml:space="preserve">Federico Gamboa</t>
  </si>
  <si>
    <t xml:space="preserve">Subversión del mito de Ciudad de México como Nueva Jerusalén en Santa de Gamboa</t>
  </si>
  <si>
    <t xml:space="preserve">Santa (1903) de Federico Gamboa se publica durante el regimen dictatorial de Porfirio Diaz para cuestionar, por un lado, sus dos maximas de “orden y progreso”, al tiempo que para analizar a sociedad de su tiempo y evolucion historica e ideologa de Iglesia colonial en Nueva Espana. Esta Iglesia transculturizo el mito utopico de Jerusalen en Ciudad de Mexico para propagar la grandeza mexicana y, por extension, del Imperio colonial espanol. Santa-prostituta, protagonista de novela y alegoria de Ciudad de Mexico, subvierte esta ideologia y sufre los estragos de una sociedad capitalista en ciernes al metaforizar corrupcion y transformacion de Ciudad de Mexico del Porfiriato. Este se nutrio de los ideales utopicos coloniales y se propuso abrir el pais a las inversiones extranjeras y al progreso. Gamboa coloca a Santa en el tiempo presente y pasado de ideologia colonial y eclesiastica que, a raiz sobre todo de aparicion guadalupana en 1531, busco evangelizar las tierras de Nueva Espana y en especial Ciudad de Mexico con los dictados del pensamiento utopico renacentista.</t>
  </si>
  <si>
    <t xml:space="preserve">2014.0</t>
  </si>
  <si>
    <t xml:space="preserve">2014-11-27</t>
  </si>
  <si>
    <t xml:space="preserve">OABASEV1_089588d91e7b4ae8</t>
  </si>
  <si>
    <t xml:space="preserve">W000009285</t>
  </si>
  <si>
    <t xml:space="preserve">W1415955523</t>
  </si>
  <si>
    <t xml:space="preserve">A Clergyman's Daughter</t>
  </si>
  <si>
    <t xml:space="preserve">George Orwell</t>
  </si>
  <si>
    <t xml:space="preserve">The lasting in the ephemeral: assessing George Orwell’s As I Please columns</t>
  </si>
  <si>
    <t xml:space="preserve">George Orwell, author of the world famous Animal Farm (1945) and Nineteen Eighty-Four (1949), was also one of the greatest journalists of the last century. Born Eric Arthur Blair in Motihari, Bengal, in 1903, he won a scholarship to Eton but in 1921 left the college 138th out of 167 candidates in final-year exams. Confounding the expectations of his family, he sailed for Rangoon, Burma, to become a probationary assistant district superintendent of the Imperial Police. But he grew disillusioned with British imperialism and in 1927 resigned ‘on medical grounds’. That winter he went ‘down and out’ in London’s East End and the following year moved to a cheap hotel in Paris. He adopted the pseudonym George Orwell in November 1932, and Down and Out in Paris and London was published during the following year. The novels Burmese Days (1935), A Clergyman’s Daughter (1935) and Keep the Aspidistra Flying (1936) followed in quick succession. In 1936 he travelled through northern England, the West Midlands, Lancashire and Yorkshire researching the working class, and in December delivered the manuscript of The Road to Wigan Pier before leaving for Spain, which was in the grip of civil war. Here he fought for the Republicans against the fascists led by General Franco and was wounded, his experiences (and his conversion to socialism) being captured in Homage to Catalonia (1938). After two unhappy years working for the BBC’s Eastern Service, in February 1943 he became literary editor of Tribune, writing the weekly As I Please column. In 1945 he served as a war correspondent on the Continent for David Astor’s Observer. The same year also saw the publication of Animal Farm, which secured massive sales in Britain and the United States, and he began spending part of every 12 months in a cottage on the remote Scottish island of Jura, Inner Hebrides. While his health continued to deteriorate he worked on completing Nineteen Eighty-Four. He died in 1950 aged just 46, soon after marrying his second wife, Sonia.</t>
  </si>
  <si>
    <t xml:space="preserve">2007.0</t>
  </si>
  <si>
    <t xml:space="preserve">2007-09-14</t>
  </si>
  <si>
    <t xml:space="preserve">https://doi.org/10.4324/9780203939765-12</t>
  </si>
  <si>
    <t xml:space="preserve">書誌的な簡潔な言及（刊行年付き）</t>
  </si>
  <si>
    <t xml:space="preserve">OABASEV1_e8ef18a38ee80227</t>
  </si>
  <si>
    <t xml:space="preserve">W000001625</t>
  </si>
  <si>
    <t xml:space="preserve">W2282398063</t>
  </si>
  <si>
    <t xml:space="preserve">Galen</t>
  </si>
  <si>
    <t xml:space="preserve">Cerebral Venous Thrombosis Associated with COVID-19</t>
  </si>
  <si>
    <t xml:space="preserve">Despite the severity of coronavirus disease 2019 (COVID-19) being more frequently related to acute respiratory distress syndrome and acute cardiac and renal injuries, thromboembolic events have been increasingly reported. We report a unique series of young patients with COVID-19 presenting with cerebral venous system thrombosis. Three patients younger than 41 years of age with confirmed Severe Acute Respiratory Syndrome coronavirus 2 (SARS-Cov-2) infection had neurologic findings related to cerebral venous thrombosis. They were admitted during the short period of 10 days between March and April 2020 and were managed in an academic institution in a large city. One patient had thrombosis in both the superficial and deep systems; another had involvement of the straight sinus, vein of Galen, and internal cerebral veins; and a third patient had thrombosis of the deep medullary veins. Two patients presented with hemorrhagic venous infarcts. The median time from COVID-19 symptoms to a thrombotic event was 7 days (range, 2-7 days). One patient was diagnosed with new-onset diabetic ketoacidosis, and another one used oral contraceptive pills. Two patients were managed with both hydroxychloroquine and azithromycin; one was treated with lopinavir-ritonavir. All patients had a fatal outcome. Severe and potentially fatal deep cerebral thrombosis may complicate the initial clinical presentation of COVID-19. We urge awareness of this atypical manifestation.</t>
  </si>
  <si>
    <t xml:space="preserve">2020-05-20</t>
  </si>
  <si>
    <t xml:space="preserve">https://doi.org/10.3174/ajnr.a6644</t>
  </si>
  <si>
    <r>
      <rPr>
        <sz val="10"/>
        <rFont val="Calibri"/>
        <family val="0"/>
        <charset val="1"/>
      </rPr>
      <t xml:space="preserve">"vein of Galen"</t>
    </r>
    <r>
      <rPr>
        <sz val="10"/>
        <rFont val="Noto Sans CJK SC"/>
        <family val="2"/>
      </rPr>
      <t xml:space="preserve">（解剖学上の名祖）。著作への参照ではない</t>
    </r>
  </si>
  <si>
    <t xml:space="preserve">OABASEV1_1dfbbf947e5898cd</t>
  </si>
  <si>
    <t xml:space="preserve">W000031472</t>
  </si>
  <si>
    <t xml:space="preserve">W3027462748</t>
  </si>
  <si>
    <t xml:space="preserve">Marie de France</t>
  </si>
  <si>
    <t xml:space="preserve">Arthurian Literature by Women ed. by Alan Lupack and Barbara Tepa Lupack (review)</t>
  </si>
  <si>
    <t xml:space="preserve">REVIEWS115 scriptural exegesis. The author's appreciation for the Anglo-Saxon poet and his craft is everywhere palpable. Yet this is no blind admiration, but rather a feeling that has grown over many years of teaching and writing, reflecting on the nature of artistic creation and the deep meaning of the words of Beowulf. LEO CARRUTHF.RS Université de Paris-Sorbonne alan lupack and barbara tepa lupack, eds., Arthurian Literature by Women. Garland Reference Library of the Humanities 2137. New York: Garland, 1999. Pp. xiii, 382. isbn: 0-8153-3305-6 (hbk); 0-8153-3483-4 (pbk). $19.95. This anthology emphasizes Arthurian works by nineteenth- and twentieth-century women authors, although it also includes Marie de France's two Arthurian lais (twelfth century) and Lady Charlotte Guest's 1849 translation ofthe medieval Welsh tale, 'The Lady ofthe Fountain.' The intended audience for the collection is explicitly one already familiar with the writing ofsuch modern women writers ofArthurian subjects as Vera Chapman, Mary Stewart, Rosemary Sutcliff, Jane Yolen, Katherine Paterson, Fay Sampson, Gillian Bradshaw, Persia Woolley, and Marion Zimmer Bradley, and their writing is thus not represented. In fact, the names of the great majority ofwriters in Arthurian Literature by Women will probably be unfamiliar to all but zealous Arthurianists, preferably with access to works long out ofprint. This is as the editors have anticipated, however, for they hope 'to explore that rich but forgotten tradition' (xi), a phrase that in part provides the title oftheir introduction. The earliest modern work reprinted hete is Anne Bannerman's 'The Prophecy of Merlin' (1802), followed by Letitia Elizabeth Landon's A Legend ofTintagel Castle' (1833) and the anonymous—the author signs merely as a 'daughter of Eve'—'The YIIe Cut Manteir (1844), a story that can be traced to the Middle Ages. Thirteen other works date from the second halfofthe nineteenth century. To note just three: the selections by Elizabeth Stuart Phelps re-create Galahad, Elaine/The Lady of Shalott, and Guenevere as poor folk living in 'realistic' squalor, presented with the heightened pathos such a setting can allow; Dinah Maria Mulock Craik's Avillion; Or, the Happy Isles features the enfeebled Wilfred Mayer and his devoted wife Lilias Hay; their encounter, during a sea voyage, with a German physician and his magic medicine sends Mayer into a lengthy but curative dream that includes both Greek mythological and Arthurian personae; and the scholar Jessie Weston is represented by a poem, 'Knights of King Arthur's Court,' written in 1896. A concentration ofselections from the period between 1901-1931 includes Martha Kinross's much-admired drama 'Tristram and Isoult,' two poems by Sara Teasdale, Edna St. Vincent Millay's 'Elaine,' and Dorothy Parker's 'Guinevere at Her Fireside' and 'Iseult of Brittany.' Conceivably less known are the short poems by Grace Constant Lounsbery, Sophie Jewett, Helen Hay Whitney, Elizabeth Colwell, and Aline Kilmer. Annie Fellows Johnston's prose tale, 'Keeping Tryst: ATaIe of King Arthur's Time,' is a children's story (but there is nothing new in the blurring of borders in much modern Arthurian composition between stories for children or Il6ARTHURIANA young adults and those for older readers). Two selections, Valerie Nieman's intriguing 'The Naming of the Lost' (1989) and four Guenevere poems by Wendy Mnookin (1991) close the volume. Readers will appreciate the generous number of works that this anthology provides, as well as the valuable service it performs by making available otherwise hard-to-get writing. A spot check of selections against first editions inspires confidence in the editors' care in transcription. Some aspects ofpresentation, however, may prove baffling. For editors, choosing from an array of material is always a daunting task, and focusing on the worthybut -forgotten is an unimpeachable aim. But it is surprising to read that Marie de France's 'Lanval' (with all due respect for Norris Lacy's translation) or 'The Lady of the Fountain' are forgotten, given that they are available elsewhere in inexpensive editions (a translation of 'Lanval' is even posted on the Net) and often used in college courses. Similarly, Wendy Mnookin's poetry, composed within the last decade, isn't old enough to have been forgotten, nor indeed is it...</t>
  </si>
  <si>
    <t xml:space="preserve">2000.0</t>
  </si>
  <si>
    <t xml:space="preserve">2000-06-01</t>
  </si>
  <si>
    <t xml:space="preserve">https://doi.org/10.1353/art.2000.0018</t>
  </si>
  <si>
    <r>
      <rPr>
        <sz val="10"/>
        <rFont val="Calibri"/>
        <family val="0"/>
        <charset val="1"/>
      </rPr>
      <t xml:space="preserve">Marie de France</t>
    </r>
    <r>
      <rPr>
        <sz val="10"/>
        <rFont val="Noto Sans CJK SC"/>
        <family val="2"/>
      </rPr>
      <t xml:space="preserve">の</t>
    </r>
    <r>
      <rPr>
        <sz val="10"/>
        <rFont val="Calibri"/>
        <family val="0"/>
        <charset val="1"/>
      </rPr>
      <t xml:space="preserve">Lanval</t>
    </r>
    <r>
      <rPr>
        <sz val="10"/>
        <rFont val="Noto Sans CJK SC"/>
        <family val="2"/>
      </rPr>
      <t xml:space="preserve">等アーサー王レーを収録・論評</t>
    </r>
  </si>
  <si>
    <t xml:space="preserve">OABASEV1_40bebf73fdd0df4a</t>
  </si>
  <si>
    <t xml:space="preserve">W000000860</t>
  </si>
  <si>
    <t xml:space="preserve">W2023772851</t>
  </si>
  <si>
    <t xml:space="preserve">Edgar Allan Poe</t>
  </si>
  <si>
    <t xml:space="preserve">Padre Brown e Chesterton</t>
  </si>
  <si>
    <t xml:space="preserve">Este artigo propõe uma análise dos romances policiais de G. K. Chesterton, com ênfase no personagem Padre Brown, em diálogo com a história do gênero policial e seu contexto social. A partir da reflexão de Borges, que posiciona Chesterton como herdeiro de Edgar Allan Poe por unir elementos fantásticos a soluções racionais, discutimos como suas narrativas policiais interagem com o surgimento da polícia moderna. Neste percurso, autores como Todorov, Carpeaux e Ortega y Gasset são referências para pensar a história do romance policial e a sua relação com a sociedade. Com base nas reflexões propostas neste artigo, conclui-se que Chesterton oferece uma crítica à modernidade, não como uma decadência, mas como uma condição a ser desafiada, evocando um perfil quixotesco diante do mundo moderno.</t>
  </si>
  <si>
    <t xml:space="preserve">2025.0</t>
  </si>
  <si>
    <t xml:space="preserve">2025-08-02</t>
  </si>
  <si>
    <t xml:space="preserve">https://doi.org/10.12660/rm.v17n27.2025.93039</t>
  </si>
  <si>
    <r>
      <rPr>
        <sz val="10"/>
        <rFont val="Noto Sans CJK SC"/>
        <family val="2"/>
      </rPr>
      <t xml:space="preserve">著者名ターゲット：</t>
    </r>
    <r>
      <rPr>
        <sz val="10"/>
        <rFont val="Calibri"/>
        <family val="0"/>
        <charset val="1"/>
      </rPr>
      <t xml:space="preserve">Chesterton</t>
    </r>
    <r>
      <rPr>
        <sz val="10"/>
        <rFont val="Noto Sans CJK SC"/>
        <family val="2"/>
      </rPr>
      <t xml:space="preserve">を「</t>
    </r>
    <r>
      <rPr>
        <sz val="10"/>
        <rFont val="Calibri"/>
        <family val="0"/>
        <charset val="1"/>
      </rPr>
      <t xml:space="preserve">Poe</t>
    </r>
    <r>
      <rPr>
        <sz val="10"/>
        <rFont val="Noto Sans CJK SC"/>
        <family val="2"/>
      </rPr>
      <t xml:space="preserve">の後継者」とする文学史的言及のみ</t>
    </r>
  </si>
  <si>
    <t xml:space="preserve">OABASEV1_8637292cb4dcfc72</t>
  </si>
  <si>
    <t xml:space="preserve">W000018534</t>
  </si>
  <si>
    <t xml:space="preserve">W4415819236</t>
  </si>
  <si>
    <t xml:space="preserve">Heart of Darkness</t>
  </si>
  <si>
    <t xml:space="preserve">Joseph Conrad</t>
  </si>
  <si>
    <t xml:space="preserve">Jack London's Heart of Darkness</t>
  </si>
  <si>
    <t xml:space="preserve">ALTHOUGH there are certain obvious similarities in the fiction of Jack London and Joseph Conrad-both wrote tales of the sea well stories set in exotic lands, and frequently both peopled their fiction with rough characters engaged in violent action-Conrad's different emphasis, surer craftsmanship and more profound insight into the psychological motivations of his characters have made these similarities seem relatively inconsequential. London is often, even within the same book, an exponent of the cult of raw meat and red blood and a political expounder using fiction a means of advancing the doctrines of socialism. This blatant dichotomy is in obvious contrast to Conrad's characteristically subtle investigations of states of mind. Conrad himself bridled at being regarded as literarily a sort of Jack London:</t>
  </si>
  <si>
    <t xml:space="preserve">1958.0</t>
  </si>
  <si>
    <t xml:space="preserve">1958-01-01</t>
  </si>
  <si>
    <t xml:space="preserve">https://doi.org/10.2307/2710175</t>
  </si>
  <si>
    <r>
      <rPr>
        <sz val="10"/>
        <rFont val="Noto Sans CJK SC"/>
        <family val="2"/>
      </rPr>
      <t xml:space="preserve">題名が</t>
    </r>
    <r>
      <rPr>
        <sz val="10"/>
        <rFont val="Calibri"/>
        <family val="0"/>
        <charset val="1"/>
      </rPr>
      <t xml:space="preserve">Conrad</t>
    </r>
    <r>
      <rPr>
        <sz val="10"/>
        <rFont val="Noto Sans CJK SC"/>
        <family val="2"/>
      </rPr>
      <t xml:space="preserve">の作品を援用し、本文でも</t>
    </r>
    <r>
      <rPr>
        <sz val="10"/>
        <rFont val="Calibri"/>
        <family val="0"/>
        <charset val="1"/>
      </rPr>
      <t xml:space="preserve">Conrad</t>
    </r>
    <r>
      <rPr>
        <sz val="10"/>
        <rFont val="Noto Sans CJK SC"/>
        <family val="2"/>
      </rPr>
      <t xml:space="preserve">を比較対象として扱う</t>
    </r>
  </si>
  <si>
    <t xml:space="preserve">OABASEV1_949e657f2edb4f91</t>
  </si>
  <si>
    <t xml:space="preserve">W000014272</t>
  </si>
  <si>
    <t xml:space="preserve">W2313439067</t>
  </si>
  <si>
    <t xml:space="preserve">The Road</t>
  </si>
  <si>
    <t xml:space="preserve">Jack London</t>
  </si>
  <si>
    <t xml:space="preserve">Jack London by Kenneth K. Brandt</t>
  </si>
  <si>
    <t xml:space="preserve">Reviewed by: Jack London by Kenneth K. Brandt Earle Labor Kenneth K. Brandt, Jack London. Liverpool: Liverpool UP, 2018. 149 pp. Cloth, $80; paper, $29.95. "Multum in Parvo" would be an appropriate title for this review. Seldom have I read a scholarly book that provided so much useful content in so few pages. In view of Kenneth Brandt's established position in the world of Jack London, I'm hardly surprised: executive coordinator of the Jack London Society and editor of The Call, the Society's official magazine; coeditor (with Jeanne C. Reesman) of Approaches to Teaching the Works of Jack London (2015); plus multiple shorter publications. Brandt states his approach in his opening chapter: "My study challenges the unexamined assumption that London's narrative accessibility consigns his work to thematic simplicity" (2). The following six chapters examine the extraordinary range of London's fiction from the Northland to the South Pacific with significant thematic variations in between: London's world-famous dystopian novel The Iron Heel, plus shorter Socialistic works like "Goliah" and "The Strength of the Strong"; the tragic consequences of "Individualism" in The Sea-Wolf and Martin Eden; the "compatibilistic" resolution of free will vs. determinism in The Road and The Star Rover. While selective rather than exhaustive, the representative works Brandt examines are truly exemplary. Beyond devoting considerable attention to popular novels like The Call of the Wild, White Fang, and The Sea-Wolf, he also includes careful readings of less-familiar works [End Page 452] like "Nam-Bok the Unveracious," "The Night-Born," "The House of Pride," "Mauki," "The Red One," and "The Water Baby." These last two stories are particularly noteworthy. Written during a period many critics have dismissed as creatively arid, they demonstrate the rich stylistic as well as thematic diversity of London's oeuvre. Brandt points out that while London was "adept at spinning a good yarn, [he] deliberately layered his fiction [and] ballasted his best stories with heftier motifs expressive of profounder implications" (15). Virtually unknown even by London fans for more than a half century, "The Red One" is arguably the most richly layered of all his stories. On one level it is an adventure tale about a modern scientist exploring the terra incognita of one of the Solomon Islands. Beneath this is the mystery of a sentient object apparently planted by some extraterrestrial force (think of Stanley Kubrick's 2001: A Space Odyssey). Deeper still, it dramatizes the universal human quest for the ultimate "Self" and "Truth." Finally, with its "wealth of allusions to the Bible and Greek mythology and English poetry," the story is comparable to T. S. Eliot's The Waste Land in suggesting "a viable repository of cultural knowledge that may serve to mitigate modernity's malaise" (120). "The Water Baby"—written shortly after his discovering C. G. Jung and less than two months before his death—is one of London's most revealing stories. Unlike most of his fiction, the physical action is minimal. Instead, tension is derived from a dialogue between two characters: John Lakana (London's Hawaiian name) and Kohokumu (Hawaiian for "tree of knowledge"). Lakana, a young Caucasian, as Brandt notes, "exemplifies Western rationality and the exhaustion of modernity" (121). Kohokumu, personifying Jung's archetypal figure of the Wise Old Man, is "an ebullient septuagenarian fully vitalized by the myth and lore of his native culture." In their argument, the elder character convincingly demonstrates that inner Truth transcends mere external Fact. "This I know," he tells Lakana, "as I grow old I seek less from the truth from without me, and find more of the truth from within me" (121). This remarkable story, his last, is eloquent testimony that London—ever the "seeker"—was still adventuring as he himself grew old. [End Page 453] Throughout this critical study Brandt undergirds his own interpretive insights with references to other significant scholarly works. The final chapter, "Coda: Literary Legacy and Scholarship"—surveying the growth of serious London scholarship during the past generation—effectively corrects the distorted image of a hack writer who made his fortune by commercializing popular dog stories. Contrary to this stereotype, London's international status as "a prominent writer and...</t>
  </si>
  <si>
    <t xml:space="preserve">2020-01-01</t>
  </si>
  <si>
    <t xml:space="preserve">https://doi.org/10.1353/wal.2020.0008</t>
  </si>
  <si>
    <t xml:space="preserve">OABASEV1_edb5f6c48b0acfd7</t>
  </si>
  <si>
    <t xml:space="preserve">W000026722</t>
  </si>
  <si>
    <t xml:space="preserve">W3005009023</t>
  </si>
  <si>
    <t xml:space="preserve">Greek Science - The Heart and the Vascular System in Ancient Greek Medicine from Alcmaeon to Galen. By C. R. S. Harris. Oxford: Clarendon Press: Oxford University Press, 1973. Pp. x + 474. £15.00.</t>
  </si>
  <si>
    <t xml:space="preserve">Greek Science - The Heart and the Vascular System in Ancient Greek Medicine from Alcmaeon to Galen. By C. R. S. Harris. Oxford: Clarendon Press: Oxford University Press, 1973. Pp. x + 474. £15.00. - Volume 7 Issue 2</t>
  </si>
  <si>
    <t xml:space="preserve">1974.0</t>
  </si>
  <si>
    <t xml:space="preserve">1974-07-01</t>
  </si>
  <si>
    <t xml:space="preserve">https://doi.org/10.1017/s0007087400013236</t>
  </si>
  <si>
    <r>
      <rPr>
        <sz val="10"/>
        <rFont val="Noto Sans CJK SC"/>
        <family val="2"/>
      </rPr>
      <t xml:space="preserve">著者名ターゲット：医学史書の題名中で</t>
    </r>
    <r>
      <rPr>
        <sz val="10"/>
        <rFont val="Calibri"/>
        <family val="0"/>
        <charset val="1"/>
      </rPr>
      <t xml:space="preserve">Galen</t>
    </r>
    <r>
      <rPr>
        <sz val="10"/>
        <rFont val="Noto Sans CJK SC"/>
        <family val="2"/>
      </rPr>
      <t xml:space="preserve">（医学著作者）に言及</t>
    </r>
  </si>
  <si>
    <t xml:space="preserve">OABASEV1_a0a4a13f8c9ccd49</t>
  </si>
  <si>
    <t xml:space="preserve">W1965933617</t>
  </si>
  <si>
    <t xml:space="preserve">Ulysses</t>
  </si>
  <si>
    <t xml:space="preserve">James Joyce</t>
  </si>
  <si>
    <t xml:space="preserve">Beyond Borders: I.A.S.I.L. Essays on Modern Irish Writing (review)</t>
  </si>
  <si>
    <t xml:space="preserve">Reviewed by: Beyond Borders: I.A.S.I.L. Essays on Modern Irish Writing Walter Corbella (bio) Beyond Borders: I.A.S.I.L. Essays On Modern Irish Writing, edited by Neil Sammells . Bath: Sulis Press, 2004. 281 pp. $44.95. As historians and critics have frequently noted, Ireland is a deeply divided nation. Geographical, political, religious, and social boundaries have defined the Irish ethos and left an indelible mark in the work of Irish authors. This sense of division has determined, in multiple ways, the fragmentation that recurs as thematic component and stylistic device in their fiction. Beyond Borders recaptures these notions of boundaries, borders, and limits, as well as the associated concepts of transgression, crossing, and disruption as the organizing principles for the sixteen essays that form this collection. In "The Victorian Celt Stereotyped, Historicized and Imagined," Simon Trezise offers a historical and literary perspective on the phenomenon of stereotype formation. Focusing on nineteenth-century views of the Celts, particularly those of John Beddoe and Sophie Bryant, Trezise analyzes the interrelations between scientific bias and stereotypes.1 In opposition to the pseudoscientific notions of the Celt, he exposes the historical factors which led to the emergence of the Irish Celt as necessary racial and religious Other, stressing the attempts to combat those stereotypical views during the Irish Literary [End Page 398] Renaissance. In J. M. Synge's work, Trezise finds a more genuine, yet unsentimentalized, view of the Irish that arises from actual observation of, and interaction with, the people.2 This piece prepares the ground for the two subsequent essays, both of which foreground the relation between Padraic Pearse and W. B. Yeats. "Yeats and Pearse in Dialogue," by Robert Tracy, reads the Proclamation of the Irish Republic as political document, literary work, and response to Yeats's play Cathleen ni Houlihan.3 According to Tracy, through his use of imagery and his dramatic reading of the Proclamation, Pearse established a dialogue with Yeats that the latter would acknowledge and continue in his poem "Easter, 1916."4 Paul Murphy's "Yeats, Pearse and the Sublime Subaltern" lays emphasis on the ambiguity of Cathleen ni Houlihan. The play lends itself to two competing interpretations, both of which rely on the subordination of the archetypal "peasant" to national and class interests. By contrast, in Pearse's play The Singer, the idealized peasant assumes "oxymoronic status as the sublime subaltern" (48), which conceals his subordination.5 In Murphy's view, these plays exemplify the distinct approaches of "Anglo-Irish" and "Irish-Irish" ideologies in postcolonial contexts. It is hard to imagine that a conference on, or overview of, Irish literature would fail to include Yeats and James Joyce, and the International Association for the Study of Irish Literatures' collection proves no exception. Ellen Carol Jones's "Joyce and Dividing Lines" and Louis Armand's "Joycean Hypertext: Technology and the Word in Finnegans Wake" approach Joyce's work from the perspective of postcolonial and postmodern theory respectively. Jones's somewhat obscure reading of the "Oxen of the Sun" episode in Ulysses explores the uses of language in the negotiation of identities through the production of "hybrid writing" in an "in-between space" (57). In such a space, the subaltern can engage in acts of translation, transgression, and transcription. In reference to the transgressive use of translation, Jones wonders, "How does cultural translation as a tropic movement transform the heliotropics of a dominant culture, the heliopolitics of imperialism?" (58). This type of "cultural translation," she argues, appears as pastiche in "Oxen of the Sun" and serves the purposes of interrogating and fragmenting the dominant cultural paradigms. At the same time, the creation of hybrid language and writing attests to the miscegenation resulting from imperialism. Having acknowledged Jacques Derrida's and Jean-Michel Rabaté's essays on Finnegans Wake, Armand characterizes Joyce's text as a language-producing machine.6 He claims, "The desiring machine, miming the totalizing movement of an exegesis, or exe-genesis, approaches a topological relation to itself similar to that of the Cantorean paradox of the set of all sets" (73-74). This statement illustrates the ways in which the complexities of Armand's prose complicate his interpretation of...</t>
  </si>
  <si>
    <t xml:space="preserve">2007-10-21</t>
  </si>
  <si>
    <t xml:space="preserve">https://doi.org/10.1353/jjq.2007.0029</t>
  </si>
  <si>
    <r>
      <rPr>
        <sz val="10"/>
        <rFont val="Calibri"/>
        <family val="0"/>
        <charset val="1"/>
      </rPr>
      <t xml:space="preserve">Ulysses "Oxen of the Sun"</t>
    </r>
    <r>
      <rPr>
        <sz val="10"/>
        <rFont val="Noto Sans CJK SC"/>
        <family val="2"/>
      </rPr>
      <t xml:space="preserve">エピソードの論評</t>
    </r>
  </si>
  <si>
    <t xml:space="preserve">OABASEV1_15a44f295ac4a304</t>
  </si>
  <si>
    <t xml:space="preserve">W000016985</t>
  </si>
  <si>
    <t xml:space="preserve">W2067893208</t>
  </si>
  <si>
    <t xml:space="preserve">Theme and its Embadiment in the Works of Henry James</t>
  </si>
  <si>
    <t xml:space="preserve">1984.0</t>
  </si>
  <si>
    <t xml:space="preserve">1984-05-01</t>
  </si>
  <si>
    <t xml:space="preserve">OABASEV1_b85d6b77c16fdc95</t>
  </si>
  <si>
    <t xml:space="preserve">W2342413711</t>
  </si>
  <si>
    <t xml:space="preserve">D.H. Lawrence</t>
  </si>
  <si>
    <t xml:space="preserve">D. H. Lawrence</t>
  </si>
  <si>
    <t xml:space="preserve">Cult of spontaneity : D. H. Lawrence and occult</t>
  </si>
  <si>
    <t xml:space="preserve">2006.0</t>
  </si>
  <si>
    <t xml:space="preserve">2006-01-31</t>
  </si>
  <si>
    <t xml:space="preserve">OABASEV1_c467d5285d646416</t>
  </si>
  <si>
    <t xml:space="preserve">W000030498</t>
  </si>
  <si>
    <t xml:space="preserve">W7208665622</t>
  </si>
  <si>
    <t xml:space="preserve">Joyce among the Cockneys: The East End as Alternative London</t>
  </si>
  <si>
    <t xml:space="preserve">The first time James Joyce went to London, both Richard Ellmann and Gordon Bowker's biographies recount, was in May 1900 (jjii 77).1 As well as visiting relatives in East End of city with his father, Joyce sampled all usual delights of cosmopolitan town. As Bowker puts it, John Joyce [showed] his son how to enjoy London - visiting music-halls, theatres, pubs and restaurants.2 It is difficult to ascertain exactly what entertainment young Joyce saw on his trip, but in any case, his being enamoured with halls in particular was clear: upon his return, Joyce would write to his brother Stanislaus proclaiming that the music hall, not poetry, is a criticism of life (jjii 77).With a series of cities already closely associated with author's writing - Dublin and Ulysses-closing Trieste-Zurich-Paris (u 993) - London has hitherto been a somewhat neglected locale in Joyce scholarship. Despite city making repeated appearances in Joyce's works following his 1900 visit, it is only recently that scholars have been encouraged to look towards London, prompted by a broader spatial turn in field. While such studies are welcome, their focus is still relatively narrow in scope. As first metropolis in an empire which included Ireland until 1922, London features most frequently in Joyce criticism as administrative colonial centre. While this interpretation allows significant insight into one facet of capital, it necessarily fails to account for intra-city local differentiation to which Joyce was attuned - homogenising, as it must, London as empire's synecdoche, or at least its symbolic geopolitical centre. The portrait of London in Joyce's novels and poetry, however, is attentive to varying characteristics of city's districts. Indeed, rather than simply rail against empire's heart, it is precisely London's multifaceted nature which Joyce employs to subvert its power as staid colonial centre, using East End of city as a disruptive counterpoint to its supposed propriety and authority.It is, of course, impossible to tell how seriously Joyce intended his line to Stanislaus on music hall to be taken. Yet, whether he meant its elevation above poetry earnestly or ironically, two inferences from Joyce's statement might productively frame his subsequent engagement with East End. The first is concept of hall as an alternative. Juxtaposed against poetry, Joyce proposes music hall as an art form distinguished from more established and, we can reasonably assume, more conventional traditions. The second is music hall as a form able to speak critically of life. Not simply a diversion or play, Joyce here entertains halls as a space in which culture might be assessed and criticised. In what follows, I will suggest that vaudeville East End represented in music hall came to serve this function in Joyce's writing. Contrary to versions of East End which we might expect to find in his works - on which more in a moment - Joyce employs a Cockneyism set against more conservative depictions of city-as-a-whole. A thorough knowledge of area allowed Joyce to selectively contrast tropes and images of East End with their orthodox London counterparts, whether it be in placing ribald Cockney women alongside less locally-inflected British ones, using East End humour to make dignified images of London bathetically ludicrous, or aligning area with other foreign spaces. Tracing use of East End slang, place names, and figures in Dubliners (1914), Ulysses (1922), Finnegans Wake (1939), and Joyce's poetry, this essay will demonstrate how Joyce thus used aesthetic of music hall to fashion a destabilising alternative to London's imperial power.Joyce's general interest in East End is suggested via even most cursory examination of area's fragmented iterations in Finnegans Wake. Numerous appearances of Bow Bells (fw 626. …</t>
  </si>
  <si>
    <t xml:space="preserve">2016.0</t>
  </si>
  <si>
    <t xml:space="preserve">2016-01-01</t>
  </si>
  <si>
    <t xml:space="preserve">https://doi.org/10.1163/9789004314467_007</t>
  </si>
  <si>
    <t xml:space="preserve">OABASEV1_497d0fea9df9d4ca</t>
  </si>
  <si>
    <t xml:space="preserve">W000017666</t>
  </si>
  <si>
    <t xml:space="preserve">W2486871367</t>
  </si>
  <si>
    <t xml:space="preserve">Lamb</t>
  </si>
  <si>
    <t xml:space="preserve">Charles Lamb</t>
  </si>
  <si>
    <t xml:space="preserve">The portable Charles Lamb</t>
  </si>
  <si>
    <t xml:space="preserve">One of the volumes in the distinguished Viking Portable series, this portable carries selections from Lamb's letters, essays, fantasies, poetry and criticism.</t>
  </si>
  <si>
    <t xml:space="preserve">1949.0</t>
  </si>
  <si>
    <t xml:space="preserve">1949-01-01</t>
  </si>
  <si>
    <t xml:space="preserve">OABASEV1_bc86df8c044a6e1e</t>
  </si>
  <si>
    <t xml:space="preserve">W000020329</t>
  </si>
  <si>
    <t xml:space="preserve">W1605818641</t>
  </si>
  <si>
    <t xml:space="preserve">Gray</t>
  </si>
  <si>
    <t xml:space="preserve">Thomas Gray</t>
  </si>
  <si>
    <t xml:space="preserve">The Magazine of Magazines, September 1756</t>
  </si>
  <si>
    <t xml:space="preserve">Front and back covers and pages from The Magazine of Magazines bound collection. In 1751, Limerick printer Andrew Welsh began printing an edition of the London based The Magazine of Magazines. Welsh, having learnt his trade from his father in Cork, began printing the Magazine, based in a building called ‘The Exchange’ on Nicholas Street, Englishtown, near the cathedral in Limerick. The Limerick publication started life as a direct, almost page for page, reprint of the London edition, printed by William Owen. The publication was a major undertaking for Welsh in Limerick. Welsh claims to have bought an entirely new set of type dedicated to printing the magazine, and the Limerick edition (like many other Irish re-prints of English works) is of better quality than its London counterpart. The Limerick edition was not simply aimed at the immediate urban public; there are three named retailers in Cork as well as one in Dublin. The Magazine, which was published for the best part of two decades, from 1751 to 1769, is a miscellany comprising of extracts from numerous eighteenth century periodicals and journals and covers subjects as diverse as Science, Philosophy, Medicine, Meteorology, Religion, Mythology and Literature to name but a few. It was the first periodical publication to feature Thomas Gray’s famous Elegy Written in a Country Churchyard, in 1751, and published essays and excerpts from towering intellectual figures of the day such as Dr Johnson and Voltaire. Prof Geraldine Sheridan, Dr. Michael Griffin, Yvonne Diggins, Research Assistant.</t>
  </si>
  <si>
    <t xml:space="preserve">2011.0</t>
  </si>
  <si>
    <t xml:space="preserve">2011-03-08</t>
  </si>
  <si>
    <r>
      <rPr>
        <sz val="10"/>
        <rFont val="Calibri"/>
        <family val="0"/>
        <charset val="1"/>
      </rPr>
      <t xml:space="preserve">Gray</t>
    </r>
    <r>
      <rPr>
        <sz val="10"/>
        <rFont val="Noto Sans CJK SC"/>
        <family val="2"/>
      </rPr>
      <t xml:space="preserve">の「</t>
    </r>
    <r>
      <rPr>
        <sz val="10"/>
        <rFont val="Calibri"/>
        <family val="0"/>
        <charset val="1"/>
      </rPr>
      <t xml:space="preserve">Elegy</t>
    </r>
    <r>
      <rPr>
        <sz val="10"/>
        <rFont val="Noto Sans CJK SC"/>
        <family val="2"/>
      </rPr>
      <t xml:space="preserve">」初掲載への言及</t>
    </r>
  </si>
  <si>
    <t xml:space="preserve">OABASEV1_dfe983daadb4f360</t>
  </si>
  <si>
    <t xml:space="preserve">W000030513</t>
  </si>
  <si>
    <t xml:space="preserve">W7209637656</t>
  </si>
  <si>
    <t xml:space="preserve">6 THE LONG SHADOW OF ANTIQUITY MEDICINE AND PLANTS</t>
  </si>
  <si>
    <t xml:space="preserve">The practice of using plants for medical treatment is as old as is mankind.Classical sources (by Dioscorides, Pliny, and Apuleius Platonicus, as well as the theory of humours by Galen) formed the basis for medieval healthcare.The Hippocratic oath (c.fourth century BC) is the earliest expression of medical ethics.Although some medieval recipes are not advisable, others are: people knew the healing potency of hypericum, but were also aware of the poisonous power of hemlock.The quadripartite periodization -monastic medicine / Salernitan medicine / the rise of the universities / scholastic medicine -is based on the relationship of texts to their Greco-Roman sources.Medieval writings like those of Hildegard von Bingen and local vernacular sources were popular in their own time.</t>
  </si>
  <si>
    <t xml:space="preserve">2023.0</t>
  </si>
  <si>
    <t xml:space="preserve">2023-04-25</t>
  </si>
  <si>
    <t xml:space="preserve">https://doi.org/10.1515/9789048557745-008</t>
  </si>
  <si>
    <r>
      <rPr>
        <sz val="10"/>
        <rFont val="Noto Sans CJK SC"/>
        <family val="2"/>
      </rPr>
      <t xml:space="preserve">著者名ターゲット：</t>
    </r>
    <r>
      <rPr>
        <sz val="10"/>
        <rFont val="Calibri"/>
        <family val="0"/>
        <charset val="1"/>
      </rPr>
      <t xml:space="preserve">Galen</t>
    </r>
    <r>
      <rPr>
        <sz val="10"/>
        <rFont val="Noto Sans CJK SC"/>
        <family val="2"/>
      </rPr>
      <t xml:space="preserve">の体液説（著作内容）への言及</t>
    </r>
  </si>
  <si>
    <t xml:space="preserve">OABASEV1_51dcbfd4a7a824da</t>
  </si>
  <si>
    <t xml:space="preserve">W4366994716</t>
  </si>
  <si>
    <t xml:space="preserve">Fraeisam Büchlein Petri Hofmanns von d. Praeservation u. Curation d. Fräisams oder Epilepsia an kleinen Kindern, auff Galen. u. Paracels. Art</t>
  </si>
  <si>
    <r>
      <rPr>
        <sz val="10"/>
        <rFont val="Noto Sans CJK SC"/>
        <family val="2"/>
      </rPr>
      <t xml:space="preserve">著者名ターゲット：「</t>
    </r>
    <r>
      <rPr>
        <sz val="10"/>
        <rFont val="Calibri"/>
        <family val="0"/>
        <charset val="1"/>
      </rPr>
      <t xml:space="preserve">auff Galen. u. Paracels. Art</t>
    </r>
    <r>
      <rPr>
        <sz val="10"/>
        <rFont val="Noto Sans CJK SC"/>
        <family val="2"/>
      </rPr>
      <t xml:space="preserve">」ガレノス流医学への言及</t>
    </r>
  </si>
  <si>
    <t xml:space="preserve">OABASEV1_d06095b070a8be87</t>
  </si>
  <si>
    <t xml:space="preserve">W7056805148</t>
  </si>
  <si>
    <t xml:space="preserve">Arnold</t>
  </si>
  <si>
    <t xml:space="preserve">Matthew Arnold</t>
  </si>
  <si>
    <t xml:space="preserve">The Darkening Age: The Christian Destruction of the Classical World. By Catherine Nixey</t>
  </si>
  <si>
    <t xml:space="preserve">Pivoting on the vagaries of Late Antiquity, The Darkening Age presents a tendentious, unflinching narrative of how Classical art and literature were systematically obliterated by the Christian movement. Catherine Nixey tracks Christianity’s trail of terror, crisscrossed through time and space. She exposes the presumed smooth denunciation of polytheistic culture as Christian fabrication. This is a book of watershed moments and snapshots of everyday life. It is not a scholastically-encumbered historical narrative but a widely accessible kind of ‘historical travelogue’ (p. xxxv). Nixey builds her account on a wealth of first-hand documents, such as official epistles and polemical diatribes cited discreetly in the book’s back matter. Apposite literary references such as Matthew Arnold’s ‘Dover Beach’ (p. 23) and Umberto Eco’s The Name of the Rose (p.139) enrich the discussion. The structure is circular, beginning and ending with the last Neoplatonist philosopher Damascius of the Athens Academy, which was proscribed by Emperor...</t>
  </si>
  <si>
    <t xml:space="preserve">2020-07-03</t>
  </si>
  <si>
    <t xml:space="preserve">https://doi.org/10.1093/litthe/fraa014</t>
  </si>
  <si>
    <r>
      <rPr>
        <sz val="10"/>
        <rFont val="Calibri"/>
        <family val="0"/>
        <charset val="1"/>
      </rPr>
      <t xml:space="preserve">Arnold</t>
    </r>
    <r>
      <rPr>
        <sz val="10"/>
        <rFont val="Noto Sans CJK SC"/>
        <family val="2"/>
      </rPr>
      <t xml:space="preserve">の「</t>
    </r>
    <r>
      <rPr>
        <sz val="10"/>
        <rFont val="Calibri"/>
        <family val="0"/>
        <charset val="1"/>
      </rPr>
      <t xml:space="preserve">Dover Beach</t>
    </r>
    <r>
      <rPr>
        <sz val="10"/>
        <rFont val="Noto Sans CJK SC"/>
        <family val="2"/>
      </rPr>
      <t xml:space="preserve">」引用</t>
    </r>
  </si>
  <si>
    <t xml:space="preserve">OABASEV1_b974cf40325ffbf7</t>
  </si>
  <si>
    <t xml:space="preserve">W000003023</t>
  </si>
  <si>
    <t xml:space="preserve">W3082104555</t>
  </si>
  <si>
    <t xml:space="preserve">Alice in Wonderland</t>
  </si>
  <si>
    <t xml:space="preserve">Lewis Carroll</t>
  </si>
  <si>
    <t xml:space="preserve">alicia en el pais de las adivinanzas pdf</t>
  </si>
  <si>
    <t xml:space="preserve">alicia en el pais de las adivinanzas pdf Rating: 4.4 / 5 (3179 votes) Downloads: 46426 = = = = = CLICK HERE TO DOWNLOAD = = = = = Así pues, el Rey y el verdugo empezaron a corretear de un lado a otro en busca del Gato, mientras el resto del grupo volvía a la partida de croquet alicia-en-el-pais-de-las-adivinanzas-un-cuento-alDownloaded from on by guest bibliotecadigitalilceedumx capítuloen la madriguera del conejo Con hermosas ilustraciones, el Ejército Nacional presenta en la Feria Internacional del Libro de Bogotá, Filbo, un libro, como una la guía pedagógica Missing: pdf · Ciudad de México,abr (EFE) La candidata presidencial del oficialismo mexicano, Claudia Sheinbaum, anticipó este miércoles que durante el segundo debate Missing: pdf Seleccione una colección (fáciles, difíciles, cortas, animales, frutas, niños, etc.) de adivinanzas para descargar e imprimir. Cada PDF tiene tanto las adivinanzas como sus respuestasintroduce al lector en los conceptos básicos del enfoque de los estudios literarios, y analiza la ironía, la parodia, el pastiche, el kitsch, la metaficción, la intertextualidad, el sinsentido y la sátira, entre algunas de las estrategias que quedan al descubierto en la literatura infantil contemporánea La cabeza del Gato empezó a desvanecerse a partir del momento en que el verdugo se fue, y, cuando éste volvió con la Duquesa, había desaparecido totalmente. introduce al lector en los conceptos básicos del enfoque de los estudios literarios, y analiza la ironía, la parodia, el pastiche, el kitsch, la metaficción, la intertextualidad, el sinsentido Alicia en el país de las adivinanzas Raymond Smullyan AtrapalecturasCecilia Beuchat Cecilia Beuchat invita a los niños y niñas a conocer la Resumen y sinopsis de Alicia en el país de las adivinanzas de Raymond Smullyan Raymond Smullyan, lógico, matemático, filósofo, mago y humorista, domina Parodiando el estilo de Lewis Carroll, la Tortuga y el Grifo, el par de gemelos Tweedledee y Tweedledum, los Reyes de Corazones, el pedante huevo Humpty Dumpty y el Caballero Alicia en el país de las adivinanzas Raymond Smullyan Alice in Wonderland Nadia Fabris,Irena Trevisan Lewis Carrolls Alice in Wonderland is retold in this Sinopsis. Raymond Smullyan, lógico, matemático, filósofo, mago y humorista, domina genialmente el arte de plantear con divertidos acertijos arduos problemas de Alicia en el país de las adivinanzas Raymond Smullyan alicia-en-el-pais-de-las-adivinanzas-un-cuento-alDownloaded from on · Comentar.</t>
  </si>
  <si>
    <t xml:space="preserve">2024.0</t>
  </si>
  <si>
    <t xml:space="preserve">2024-06-10</t>
  </si>
  <si>
    <t xml:space="preserve">https://doi.org/10.5281/zenodo.12270814</t>
  </si>
  <si>
    <r>
      <rPr>
        <sz val="10"/>
        <rFont val="Noto Sans CJK SC"/>
        <family val="2"/>
      </rPr>
      <t xml:space="preserve">スパム的集約テキストだが「</t>
    </r>
    <r>
      <rPr>
        <sz val="10"/>
        <rFont val="Calibri"/>
        <family val="0"/>
        <charset val="1"/>
      </rPr>
      <t xml:space="preserve">Lewis Carrolls Alice in Wonderland</t>
    </r>
    <r>
      <rPr>
        <sz val="10"/>
        <rFont val="Noto Sans CJK SC"/>
        <family val="2"/>
      </rPr>
      <t xml:space="preserve">」を明示（</t>
    </r>
    <r>
      <rPr>
        <sz val="10"/>
        <rFont val="Calibri"/>
        <family val="0"/>
        <charset val="1"/>
      </rPr>
      <t xml:space="preserve">Smullyan</t>
    </r>
    <r>
      <rPr>
        <sz val="10"/>
        <rFont val="Noto Sans CJK SC"/>
        <family val="2"/>
      </rPr>
      <t xml:space="preserve">のパロディ紹介文中）</t>
    </r>
  </si>
  <si>
    <t xml:space="preserve">OABASEV1_6528933d9cba7dd6</t>
  </si>
  <si>
    <t xml:space="preserve">W000018284</t>
  </si>
  <si>
    <t xml:space="preserve">W6892801732</t>
  </si>
  <si>
    <t xml:space="preserve">Thomas Gray to Horace Walpole, 4th earl of Orford, Monday, 31 March 1738 [graythOU0010082a1c]</t>
  </si>
  <si>
    <t xml:space="preserve">2014-07-31</t>
  </si>
  <si>
    <t xml:space="preserve">https://doi.org/10.13051/ee:doc/graythou0010082a1c</t>
  </si>
  <si>
    <r>
      <rPr>
        <sz val="10"/>
        <rFont val="Noto Sans CJK SC"/>
        <family val="2"/>
      </rPr>
      <t xml:space="preserve">著者名ターゲット：</t>
    </r>
    <r>
      <rPr>
        <sz val="10"/>
        <rFont val="Calibri"/>
        <family val="0"/>
        <charset val="1"/>
      </rPr>
      <t xml:space="preserve">Gray</t>
    </r>
    <r>
      <rPr>
        <sz val="10"/>
        <rFont val="Noto Sans CJK SC"/>
        <family val="2"/>
      </rPr>
      <t xml:space="preserve">自身の書簡（一次資料）</t>
    </r>
  </si>
  <si>
    <t xml:space="preserve">OABASEV1_d46dfe6be8c6e04c</t>
  </si>
  <si>
    <t xml:space="preserve">W4232127913</t>
  </si>
  <si>
    <t xml:space="preserve">Dom Juan</t>
  </si>
  <si>
    <t xml:space="preserve">Molière</t>
  </si>
  <si>
    <t xml:space="preserve">Dom Juan, Molière, Acte III Scène 4</t>
  </si>
  <si>
    <t xml:space="preserve">2012.0</t>
  </si>
  <si>
    <t xml:space="preserve">2012-11-21</t>
  </si>
  <si>
    <t xml:space="preserve">OABASEV1_16de529922e8392f</t>
  </si>
  <si>
    <t xml:space="preserve">W000030756</t>
  </si>
  <si>
    <t xml:space="preserve">W18873569</t>
  </si>
  <si>
    <t xml:space="preserve">Louisa May Alcott</t>
  </si>
  <si>
    <t xml:space="preserve">Resumen de tesis. Challenging gender roles in Austen's Pride and Prejudice and Alcott's Little Women and their reception. A comparative study</t>
  </si>
  <si>
    <t xml:space="preserve">[ES] Jane Austen es considerada una de las escritoras mas importantes de la historia de la literatura. Desde la publicacion de su primera novela en 1811 hasta las ultimas adaptaciones cinematograficas de sus obras, Austen se ha convertido en un fenomeno mundial. Es casi imposible encontrar a alguien que no haya oido hablar de Jane Austen ya sea por sus novelas o por una de las muchas adaptaciones de sus obras a la pequena o gran pantalla. Por su parte, Louisa May Alcott tambien se convirtio en una escritora muy conocida gracias a su trilogia de Mujercitas; sin embargo, nunca fue tan popular como Jane Austen, especialmente en el mundo academico.
A pesar de las aparentes diferencias, es posible establecer paralelismos entre las circunstancias de las autoras, su recepcion y su reciente ascenso a la fama dentro de la cultura popular. Aunque estas novelistas se encuentran separadas por el Oceano Atlantico y mas de medio siglo, como escritoras se enfrentaron a dificultades similares y abordaron experiencias feminocentricas recurrentes, mientras que sus obras fueron elogiadas y criticadas casi por igual. Sin embargo, la investigacion ha demostrado que no existen estudios comparativos exhaustivos que aborden estas similitudes. Para llenar este vacio, la presente tesis ha sido concebida con los siguientes objetivos: primero, exponer como sus trabajos mas conocidos muestran preocupaciones similares con respecto a las mujeres y como a lo largo del tiempo se perciben algunos avances en sus derechos; en segundo lugar, explorar como su sexo y los generos literarios que eligieron han definido su recepcion a lo largo del tiempo, lo que demuestra ciertos prejuicios en criticos y lectores; y, finalmente, analizar las razones de la popularidad actual y como las nuevas adaptaciones simplifican de manera similar sus trabajos.</t>
  </si>
  <si>
    <t xml:space="preserve">2019.0</t>
  </si>
  <si>
    <t xml:space="preserve">2019-01-01</t>
  </si>
  <si>
    <r>
      <rPr>
        <sz val="10"/>
        <rFont val="Calibri"/>
        <family val="0"/>
        <charset val="1"/>
      </rPr>
      <t xml:space="preserve">Little Women</t>
    </r>
    <r>
      <rPr>
        <sz val="10"/>
        <rFont val="Noto Sans CJK SC"/>
        <family val="2"/>
      </rPr>
      <t xml:space="preserve">（</t>
    </r>
    <r>
      <rPr>
        <sz val="10"/>
        <rFont val="Calibri"/>
        <family val="0"/>
        <charset val="1"/>
      </rPr>
      <t xml:space="preserve">Mujercitas</t>
    </r>
    <r>
      <rPr>
        <sz val="10"/>
        <rFont val="Noto Sans CJK SC"/>
        <family val="2"/>
      </rPr>
      <t xml:space="preserve">）を扱う</t>
    </r>
  </si>
  <si>
    <t xml:space="preserve">OABASEV1_6be9aeab4d0f0b65</t>
  </si>
  <si>
    <t xml:space="preserve">W000014515</t>
  </si>
  <si>
    <t xml:space="preserve">W3006176929</t>
  </si>
  <si>
    <t xml:space="preserve">The Ambassadors</t>
  </si>
  <si>
    <t xml:space="preserve">Representações da descoberta: espaço e epifania em The ambassadors</t>
  </si>
  <si>
    <t xml:space="preserve">The aim of this paper is to analyze how the novel The ambassadors, published in 1903 by the American author Henry James (1843-1916), relates the narrative category of space to Lewis Lambert Strether’s epiphany based on some literary concepts conceived by Osman Lins (1976), Iuri Lotman (1978) and James Joyce (1963). We will attempt to show in what manner the revelation of truth is connected to the external space illuminated by the natural light of an inn, conveniently named Cheval Blanc, and harmonizes with the steps of the epiphanic process (integrity, symmetry and radiance), promoting Strether’s self-consciousness.</t>
  </si>
  <si>
    <t xml:space="preserve">2013.0</t>
  </si>
  <si>
    <t xml:space="preserve">2013-01-01</t>
  </si>
  <si>
    <t xml:space="preserve">OABASEV1_c46b7a49f5544dc5</t>
  </si>
  <si>
    <t xml:space="preserve">W000014023</t>
  </si>
  <si>
    <t xml:space="preserve">W2616175040</t>
  </si>
  <si>
    <t xml:space="preserve">S imon P. H ull , Charles Lamb, Elia and the London Magazine (London: Pickering &amp; Chatto, 2010), pp. 240. £60 / US $99 hardback. 9781851966615.</t>
  </si>
  <si>
    <t xml:space="preserve">2011-10-01</t>
  </si>
  <si>
    <t xml:space="preserve">https://doi.org/10.3366/rom.2011.0055</t>
  </si>
  <si>
    <t xml:space="preserve">OABASEV1_f709119bfad1d258</t>
  </si>
  <si>
    <t xml:space="preserve">W000020297</t>
  </si>
  <si>
    <t xml:space="preserve">W2077889046</t>
  </si>
  <si>
    <t xml:space="preserve">OpenAlex R2+A1 Blind Human Audit — R2A1A02</t>
  </si>
  <si>
    <t xml:space="preserve">Prenatal Diagnosis of the Aneurysm of the Vein of Galen by Pulsed Doppler Unit</t>
  </si>
  <si>
    <t xml:space="preserve">Aneurysm of the vein of Galen is a rare anomaly. In the severe type, the first clinical manifestation of this anomaly is heart failure after birth. Prenatal diagnosis is important in preventing heart failure during the postnatal period. Here, we report the prenatal diagnosis of a case of aneurysm of the vein of Galen in which we used a pulsed Doppler unit combined with a fetal electrocardiogram-phonocardiogram unit.</t>
  </si>
  <si>
    <t xml:space="preserve">1991.0</t>
  </si>
  <si>
    <t xml:space="preserve">1991-07-01</t>
  </si>
  <si>
    <t xml:space="preserve">https://doi.org/10.1055/s-2007-999388</t>
  </si>
  <si>
    <r>
      <rPr>
        <sz val="10"/>
        <rFont val="Calibri"/>
        <family val="0"/>
        <charset val="1"/>
      </rPr>
      <t xml:space="preserve">"vein of Galen"</t>
    </r>
    <r>
      <rPr>
        <sz val="10"/>
        <rFont val="Noto Sans CJK SC"/>
        <family val="2"/>
      </rPr>
      <t xml:space="preserve">（解剖学上の名祖）</t>
    </r>
  </si>
  <si>
    <t xml:space="preserve">OABASEV1_ffd1703fe30fa950</t>
  </si>
  <si>
    <t xml:space="preserve">W2081917034</t>
  </si>
  <si>
    <t xml:space="preserve">The Grotesque Elements in Poe’s “Black Cat” and Scudder’s “The White Cat”</t>
  </si>
  <si>
    <t xml:space="preserve">The present essay focuses on the grotesque elements in Edgar Allan Poe’s the “Black Cat” and Horace Scudder’s “The White Cat”. Poe’s story is highly embedded with a lot of grotesque elements from the beginning to the end. These elements were presented through strange characters, mysterious happenings, and degradation through death. Poe represents the struggle between the supernatural and the natural which he reinforces through the narrator who struggles to commit wrongdoings. Even in the mist of trying to restrict himself, the narrator still does not know what he did. In “The White Cat,” Scudder employs grotesque elements as well but his application is subtly done unlike Poe whose application is more pronounced. The underlying meaning of this short story is on the spell of enchantment. However, Scudder, like Poe, displays the supernatural events through the characters of the “fairies” who has magical power to change the once a beautiful princess to a white cat. Grotesque includes absurd and bizarre elements and pierces the conventional version of reality. However; in its ability to shock or offend, grotesque helps to expose the vulnerability in human depicted via these absurd element which will be explained in detail in the present study.</t>
  </si>
  <si>
    <t xml:space="preserve">2014-04-26</t>
  </si>
  <si>
    <t xml:space="preserve">https://doi.org/10.7575/aiac.ijclts.v.2n.2p.42</t>
  </si>
  <si>
    <t xml:space="preserve">OABASEV1_3872a4b2d4dd6dda</t>
  </si>
  <si>
    <t xml:space="preserve">W2115502554</t>
  </si>
  <si>
    <t xml:space="preserve">Petronius</t>
  </si>
  <si>
    <t xml:space="preserve">Petronius és Martialis simplicitas-a</t>
  </si>
  <si>
    <t xml:space="preserve">1947.0</t>
  </si>
  <si>
    <t xml:space="preserve">1947-01-01</t>
  </si>
  <si>
    <r>
      <rPr>
        <sz val="10"/>
        <rFont val="Noto Sans CJK SC"/>
        <family val="2"/>
      </rPr>
      <t xml:space="preserve">著者名ターゲット：</t>
    </r>
    <r>
      <rPr>
        <sz val="10"/>
        <rFont val="Calibri"/>
        <family val="0"/>
        <charset val="1"/>
      </rPr>
      <t xml:space="preserve">Petronius</t>
    </r>
    <r>
      <rPr>
        <sz val="10"/>
        <rFont val="Noto Sans CJK SC"/>
        <family val="2"/>
      </rPr>
      <t xml:space="preserve">の文体論</t>
    </r>
  </si>
  <si>
    <t xml:space="preserve">OABASEV1_e4cc3877ebf1ff31</t>
  </si>
  <si>
    <t xml:space="preserve">W000021772</t>
  </si>
  <si>
    <t xml:space="preserve">W7042323523</t>
  </si>
  <si>
    <t xml:space="preserve">The Hobbit</t>
  </si>
  <si>
    <t xml:space="preserve">J.R.R. Tolkien</t>
  </si>
  <si>
    <t xml:space="preserve">Paisajes de Tolkien en la Tierra Media.</t>
  </si>
  <si>
    <t xml:space="preserve">El artículo reflexiona sobre la carga simbólica y emocional de los dos tipos de escenarios paisajísticos muy marcados y diferenciados que aparecen en la trilogía cinematográfica de “El Hobbit” (The Hobbit) (2012, 2013, 2014), de Peter Jackson.Uno de los paisajes será armónico, tranquilo, edénico y de luz, donde todo funciona en sociedades ideales que habitan criaturas antropomórficos de buena voluntad e intención como son los hobbits y los elfos, mientras que el otro paisaje será oscuro y desolador habitado por seres terroríficos como trasgos y orcos, dominados por una fuerza misteriosa de siniestro poder llamada el Nigromante que siembra el mal en su sombrío territorio. A través del universo creado por el escritor y profesor J.R.R.Tolkien y de su imaginaria y fascinante Tierra Media, se analiza el escenario paisajístico cinematográfico intentando buscar las claves que lo definan a medida que es recorrido por la comunidad formada por el mago Gandalf el Gris, (Ian McKellen),el hobbit Bilbo Bolsón, (Martin Freeman), el rey enano Thorin Escudo de roble (Richard Armitage) y los otros doce enanos que le acompañan, partiendo del paisaje edénico de la Comarca y del armonioso y casi perfecto Rivendel, pasando por las tierras siniestras y de penumbra donde el paisaje aparece muy en consonancia con la obra de pintores y grabadores del romanticismo como Piranesi o Caspar David Friedrich, cuyas obras se reflejan a la perfección en el Bosque de Trolls, Dol Guldur en el Bosque Negro, y la Ciudad de los Trasgos en busca del antiguo reino de los enanos en Erebor.</t>
  </si>
  <si>
    <t xml:space="preserve">2018.0</t>
  </si>
  <si>
    <t xml:space="preserve">2018-12-10</t>
  </si>
  <si>
    <t xml:space="preserve">https://doi.org/10.83190/yn8d9660</t>
  </si>
  <si>
    <r>
      <rPr>
        <sz val="10"/>
        <rFont val="Calibri"/>
        <family val="0"/>
        <charset val="1"/>
      </rPr>
      <t xml:space="preserve">Peter Jackson</t>
    </r>
    <r>
      <rPr>
        <sz val="10"/>
        <rFont val="Noto Sans CJK SC"/>
        <family val="2"/>
      </rPr>
      <t xml:space="preserve">の映画三部作が主対象だが、原作「</t>
    </r>
    <r>
      <rPr>
        <sz val="10"/>
        <rFont val="Calibri"/>
        <family val="0"/>
        <charset val="1"/>
      </rPr>
      <t xml:space="preserve">The Hobbit</t>
    </r>
    <r>
      <rPr>
        <sz val="10"/>
        <rFont val="Noto Sans CJK SC"/>
        <family val="2"/>
      </rPr>
      <t xml:space="preserve">」と</t>
    </r>
    <r>
      <rPr>
        <sz val="10"/>
        <rFont val="Calibri"/>
        <family val="0"/>
        <charset val="1"/>
      </rPr>
      <t xml:space="preserve">Tolkien</t>
    </r>
    <r>
      <rPr>
        <sz val="10"/>
        <rFont val="Noto Sans CJK SC"/>
        <family val="2"/>
      </rPr>
      <t xml:space="preserve">を明示。映画化作品経由の参照</t>
    </r>
  </si>
  <si>
    <t xml:space="preserve">OABASEV1_060ac2b6934cc9ab</t>
  </si>
  <si>
    <t xml:space="preserve">W000013953</t>
  </si>
  <si>
    <t xml:space="preserve">W7172534944</t>
  </si>
  <si>
    <t xml:space="preserve">Westernness: A Meditation by Alan Williamson</t>
  </si>
  <si>
    <t xml:space="preserve">B o o k R e v i e w s Westernness: A Meditation. By Alan Williamson. Charlottesville: University of Virginia Press, 2006. 182 pages, $29.50. Reviewed by Diane Quantic Wichita State University Alan Williamson calls his study Westemness “a meditation,” “a fugue of accu­ mulating impressions” (7). Although the title seems sweeping, Williamson focuses primarily on afew authors and works from California and New Mexico. For example, in his first chapter, “Cather and Romance,” he considers only Death Comes for the Archbishop (1927), with brief mention of Song of the Lark (1915) and O Pioneers! (1913). In subsequent chapters, he treats “Yosemite Painters” Albert Bierstadt, Thomas Hill, and William Keith in just three-anda -half pages but with fine color reproductions of their works. D. H. Lawrence Photographer unknown. “Theodore Roosevelt and his dog Skip, on a bearhunt , West Divide Creek, near New Castle, Colorado, April 1905.” Neg. no. 335695. Courtesy of the American Museum ofNatural History Library. b o o k R e v ie w s and Yvor Winters are “Two Convalescents.” In four pages, he mentions Georgia O ’Keeffe in the context of Las Trampas and Chimayo. There are discussions of the Tonalism of the early-twentieth-century Monterrey painters and Robinson Jeffers. Steinbeck is considered in the context of the Tao. Raymond Chandler and the poets (unknown to this reader) James McMichael and Frank Bidart are covered in a chapter on Southern California. He places his discussion of Leslie Marmon Silko’sCeremony (1977) in a chapter titled “Highway 66” that focuses on negative aspects of European American culture. The California painter Wayne Thiebaud gets only four-and-a-half pages, but the poet Gary Snyder is central to two chapters, including one on the influence of Eastern culture on California poets. Finally, Williamson considers Montana and Young Men and Fire (1992) by Norman Maclean. To say the least, I find this an odd mix of “westemness” that means some­ thing quite different to me and, I would guess, to most students of western literature than it does to Williamson. The term “meditation,” like the recently controversial “memoir,” apparently gives an author more authority over his material than does a “systematic history,” for which Williams admits he “lackjs] the competence” (7). I would agree: it seems odd to read commentary on Cather’sromanticism and Death Comes for the Archbishop in the context of Richard Chase’sThe American Novel and Its Tradition (1957), citing the Vintage edition of the novel, with no reference to Susan Rosowski’sstudy of The Voyage Perilous (1986) or the scholarly edition of the text. Williamson’snotes vary in length and number from chapter to chapter, but in all of his discussions he relies on only a few sources outside his primary texts. He does not bring to his “meditation” the depth and range of scholarship one usually expects from a scholarly text. Nevertheless, I find his readings of the works by Cather, Steinbeck, and Maclean to be refreshing and insightful. Perhaps the key to appreciating a “meditation” is to recognize it as the author’s attempt to share a thoughtful consideration of certain texts in an effort to place those works within one’s own sense of “westemness.” Even though Williamson does not succeed in explaining his concept of the term adequately, he does add to my appreciation of several texts that embody my own sense of “westemness.” ...</t>
  </si>
  <si>
    <t xml:space="preserve">2007-01-01</t>
  </si>
  <si>
    <t xml:space="preserve">https://doi.org/10.1353/wal.2007.0027</t>
  </si>
  <si>
    <r>
      <rPr>
        <sz val="10"/>
        <rFont val="Noto Sans CJK SC"/>
        <family val="2"/>
      </rPr>
      <t xml:space="preserve">著者名ターゲット：評対象書に</t>
    </r>
    <r>
      <rPr>
        <sz val="10"/>
        <rFont val="Calibri"/>
        <family val="0"/>
        <charset val="1"/>
      </rPr>
      <t xml:space="preserve">D. H. Lawrence</t>
    </r>
    <r>
      <rPr>
        <sz val="10"/>
        <rFont val="Noto Sans CJK SC"/>
        <family val="2"/>
      </rPr>
      <t xml:space="preserve">を扱う章あり</t>
    </r>
  </si>
  <si>
    <t xml:space="preserve">OABASEV1_0b80a14c51a41611</t>
  </si>
  <si>
    <t xml:space="preserve">W2761953010</t>
  </si>
  <si>
    <t xml:space="preserve">Homer, Turko, Little Harry: Cultural Memory and the Ethics of Premediation in James Joyce’s Ulysses</t>
  </si>
  <si>
    <t xml:space="preserve">2019-06-06</t>
  </si>
  <si>
    <t xml:space="preserve">OABASEV1_c1b54bf68ca97b4e</t>
  </si>
  <si>
    <t xml:space="preserve">W000030950</t>
  </si>
  <si>
    <t xml:space="preserve">W7056874470</t>
  </si>
  <si>
    <t xml:space="preserve">A Rose for Emily</t>
  </si>
  <si>
    <t xml:space="preserve">William Faulkner</t>
  </si>
  <si>
    <t xml:space="preserve">Teaching Hemingway and Modernism ed. by Joseph Fruscione</t>
  </si>
  <si>
    <t xml:space="preserve">Reviewed by: Teaching Hemingway and Modernism ed. by Joseph Fruscione Michael Von Cannon Teaching Hemingway and Modernism. Ed. Joseph Fruscione. Kent, OH: Kent State UP, 2015. 240 pp. Paper $40.00. As part of the "Teaching Hemingway" series, Joseph Fruscione's essay collection Teaching Hemingway and Modernism follows Lisa Tyler's Teaching Hemingway's A Farewell to Arms and Peter L. Hays's Teaching Hemingway's The Sun Also Rises (2008) and precedes Alex Vernon's Teaching Hemingway and War (2016), Verna Kale's Teaching Hemingway and Gender (2016) and Kevin Maier's soon-to-be-published Teaching Hemingway and the Natural World (2017). In the forward to Fruscione's volume, Mark P. Ott notes the rationale for shifting away from specific novels and toward broader concepts: "To promote their usefulness to instructors and professors—from high schools, community colleges, and universities—the newest volumes in this series are organized thematically rather than around a single text." In the introduction and the fifteen pedagogically oriented essays that follow, the volume explores Hemingway and the "theme" of modernism through three sections on significant people, places, and cultural and theoretical contexts. Written by teacher-scholars—ranging from tenured faculty to adjuncts, from university administrators to cofounders of nonprofit organizations—these essays discuss the relationship between Hemingway and Gertrude Stein, Wallace Stevens, William Faulkner, and Zora Neale Hurston; the writer's rootedness to places such as Paris and Spain; and contexts including avant-garde art, warfare, postmodernism, and the digital age. Most importantly, contributors not only exhibit cutting-edge research but also stress innovative teaching practices both within and outside the traditional classroom setting. In the first section, contributors show how Hemingway's ostensible simplicity can help students decipher works by notoriously difficult modernist writers while, at the same time, deepening our appreciation of Hemingway's own complexity. Julie Goodspeed-Chadwick and Katie Owens-Murphy each compare Stein's portraits and narratives (e.g. "Picasso," Three Lives, and The Making of Americans) to In Our Time and Death in the Afternoon, contending that the juxtaposition provides access to stylistic similarities, specifically the writers' uses of repetition and elision. Likewise, Phillip Beard argues that "Big Two-Hearted River" and To Have and Have Not can help students understand Stevens's poetics of "extraordinary actuality" and, in turn, Hemingway's ecological understanding. James B. Carothers brings readers into his Hemingway and Faulkner undergraduate classroom, delving into the assigned reading list, class discussions (such as those on similarities between "The Short Happy [End Page 135] Life of Francis Macomber" and "A Rose for Emily"), essay prompts, and exam questions. For instance, Carothers warns against assignments or essay questions on the problematic Hemingway code; however, he does usefully suggest, "What you can do is ask students to consider the differences between the hero, the protagonist, and the central character, since the modern world that Hemingway and Faulkner confronted did not offer the heroic opportunity" (44). Most striking, Anna Lillios outlines her American Literature II unit on Hemingway and Hurston, in which she provides a day-by-day plan for The Sun Also Rises and Their Eyes Were Watching God. Like Carothers, she also offers suggestions for class discussions and essays that explore the gender and race dimensions of these modernist pilgrimage novels. Not surprisingly, the majority of essays in the second section (on place) center on Hemingway's Paris. Beginning with an immersive tour of her study-abroad course on American expatriate writers, Meg Gillette insightfully demonstrates how visits to museums (such as the Museum of Jewish Art and History, the Anthropology Museum, and the Musée d'Orsay) and other city sites—including statues, monuments, and memorials—help students examine the race, ethnicity, and gender in The Sun Also Rises, a novel that starts to read like a kind of postwar travelogue. She also helpfully offers tips for constructing a course with similar learning objectives but without the study-abroad requirement. Adam R. McKee focuses on the influence of Stein, James Joyce, and Paul Cézanne on the young writer's Paris-based experimentation, whereas David Barnes traces Ezra Pound's influence in order to recapture the political and socioeconomic aspects of In Our Time and...</t>
  </si>
  <si>
    <t xml:space="preserve">2017.0</t>
  </si>
  <si>
    <t xml:space="preserve">2017-01-01</t>
  </si>
  <si>
    <t xml:space="preserve">https://doi.org/10.1353/hem.2017.0009</t>
  </si>
  <si>
    <r>
      <rPr>
        <sz val="10"/>
        <rFont val="Noto Sans CJK SC"/>
        <family val="2"/>
      </rPr>
      <t xml:space="preserve">抄録後半で </t>
    </r>
    <r>
      <rPr>
        <sz val="10"/>
        <rFont val="Calibri"/>
        <family val="0"/>
        <charset val="1"/>
      </rPr>
      <t xml:space="preserve">"A Rose for Emily" </t>
    </r>
    <r>
      <rPr>
        <sz val="10"/>
        <rFont val="Noto Sans CJK SC"/>
        <family val="2"/>
      </rPr>
      <t xml:space="preserve">を明示的に言及</t>
    </r>
  </si>
  <si>
    <t xml:space="preserve">OABASEV1_9a0633e87f01b3c8</t>
  </si>
  <si>
    <t xml:space="preserve">W000030723</t>
  </si>
  <si>
    <t xml:space="preserve">W2615321001</t>
  </si>
  <si>
    <t xml:space="preserve">A General Introduction to Charles Lamb. Together with a Special Study of His Relation to Robert Burton, the Author of the Anatomy of Melancholy ...</t>
  </si>
  <si>
    <t xml:space="preserve">2009.0</t>
  </si>
  <si>
    <t xml:space="preserve">2009-08-10</t>
  </si>
  <si>
    <t xml:space="preserve">OABASEV1_94fe686e375d12c2</t>
  </si>
  <si>
    <t xml:space="preserve">W423100859</t>
  </si>
  <si>
    <t xml:space="preserve">Women’s Cultural Identity and Desire in the Works of Henry James, Edith Wharton and Gwang-su Yi</t>
  </si>
  <si>
    <t xml:space="preserve">2018-05-31</t>
  </si>
  <si>
    <t xml:space="preserve">https://doi.org/10.21084/jmball.2018.05.36.2.43</t>
  </si>
  <si>
    <t xml:space="preserve">OABASEV1_b51aaa2150e484bc</t>
  </si>
  <si>
    <t xml:space="preserve">W2808989167</t>
  </si>
  <si>
    <t xml:space="preserve">Novels</t>
  </si>
  <si>
    <t xml:space="preserve">Jules Verne</t>
  </si>
  <si>
    <t xml:space="preserve">Jules Verne, Nina y un nuevo Mediterráneo</t>
  </si>
  <si>
    <t xml:space="preserve">EnglishIn the novel Hector Servadac by Jules Verne, on January 1st, a man challenges another man to a duel on the Algerian coast because both of them are in love with the same woman, a young widow. That night a meteorite crashes into the Earth taking away the western Mediterranean coast. Together with its inhabitants, this area keeps spinning around the Solar System, on its own orbit, for two years before returning to its original place. This plot allows the French author to evoke the regeneration of the society of his time and, despite the widely spread idea that women have little importance in his novels, we meet Nina, an essential character for such a regeneration to take place. francaisJules Verne dans son roman Hector Servadac raconte que, le premier janvier, deux hommes vont se defier en duel sur la cote d’Algerie pour une rivalite amoureuse, celle d’une jeune veuve. Juste la nuit d’avant, une comete heurte la Terre arrachant un morceau, la cote occidentale de la Mediterranee. Ce nouvel astre avec ses habitants devient une partie du systeme solaire et tourne, avec sa propre orbite, pendant deux ans avant de retourner a son lieu d’origine. Avec cette aventure cosmographique, l’auteur francais cherche a montrer un modele de regeneration a la societe de son epoque. Malgre l’idee si repandue a propos d’une presence minimale de la femme dans ses romans, nous decouvrirons que Nina est un personnage essentiel pour que cette renaissance soit possible.</t>
  </si>
  <si>
    <r>
      <rPr>
        <sz val="10"/>
        <rFont val="Noto Sans CJK SC"/>
        <family val="2"/>
      </rPr>
      <t xml:space="preserve">ターゲット題名「</t>
    </r>
    <r>
      <rPr>
        <sz val="10"/>
        <rFont val="Calibri"/>
        <family val="0"/>
        <charset val="1"/>
      </rPr>
      <t xml:space="preserve">Novels</t>
    </r>
    <r>
      <rPr>
        <sz val="10"/>
        <rFont val="Noto Sans CJK SC"/>
        <family val="2"/>
      </rPr>
      <t xml:space="preserve">」は総称的。</t>
    </r>
    <r>
      <rPr>
        <sz val="10"/>
        <rFont val="Calibri"/>
        <family val="0"/>
        <charset val="1"/>
      </rPr>
      <t xml:space="preserve">Verne</t>
    </r>
    <r>
      <rPr>
        <sz val="10"/>
        <rFont val="Noto Sans CJK SC"/>
        <family val="2"/>
      </rPr>
      <t xml:space="preserve">の小説</t>
    </r>
    <r>
      <rPr>
        <sz val="10"/>
        <rFont val="Calibri"/>
        <family val="0"/>
        <charset val="1"/>
      </rPr>
      <t xml:space="preserve">Hector Servadac</t>
    </r>
    <r>
      <rPr>
        <sz val="10"/>
        <rFont val="Noto Sans CJK SC"/>
        <family val="2"/>
      </rPr>
      <t xml:space="preserve">を論じる</t>
    </r>
  </si>
  <si>
    <t xml:space="preserve">OABASEV1_f1937b330392851f</t>
  </si>
  <si>
    <t xml:space="preserve">W000000749</t>
  </si>
  <si>
    <t xml:space="preserve">W3207142652</t>
  </si>
  <si>
    <t xml:space="preserve">The Island of Dr. Moreau</t>
  </si>
  <si>
    <t xml:space="preserve">H. G. Wells</t>
  </si>
  <si>
    <t xml:space="preserve">Burning Out the Animal: The Failure of Enlightenment Purification in H. G. Wells’s The Island of Dr. Moreau</t>
  </si>
  <si>
    <t xml:space="preserve">J acques Derrida’s recent and recurring interest in the problem of the animal signals the critical recognition in cultural theory of a non- human “other” that is crucial to our modernity and to our Western philosophical heritage. Derrida traces a certain recalcitrant humanism in Western metaphysical thought—especially in the work of such cardinal thinkers as Aristotle, Freud, Heidegger, and Levinas—which “continues to link subjectivity with man” 1 and withhold it from the animal. In broad theoretical terms, Derrida characterizes the sacrificial structure of Western subjectivity as one that maintains the status of the “human” by a violent abjection, destruction, and disavowal of the “animal.” In other words, the sanctity of humanity depends upon our difference from animals, our repression of animality, and the material reinstantiation of that exclusion through various practices such as meat-eating, hunting, and medical experimentation. These keywords were added by machine and not by the authors. This process is experimental and the keywords may be updated as the learning algorithm improves.</t>
  </si>
  <si>
    <t xml:space="preserve">2005.0</t>
  </si>
  <si>
    <t xml:space="preserve">2005-01-01</t>
  </si>
  <si>
    <t xml:space="preserve">https://doi.org/10.1007/978-1-137-09411-7_8</t>
  </si>
  <si>
    <t xml:space="preserve">OABASEV1_508cddaa35461983</t>
  </si>
  <si>
    <t xml:space="preserve">W000017418</t>
  </si>
  <si>
    <t xml:space="preserve">W2529094040</t>
  </si>
  <si>
    <t xml:space="preserve">Petronius’ Talking Birds: Mimicry and Death in theCena Trimalchionis</t>
  </si>
  <si>
    <t xml:space="preserve">2019-12-26</t>
  </si>
  <si>
    <t xml:space="preserve">https://doi.org/10.1086/706448</t>
  </si>
  <si>
    <t xml:space="preserve">OABASEV1_82e992bab839c69b</t>
  </si>
  <si>
    <t xml:space="preserve">W2997367910</t>
  </si>
  <si>
    <t xml:space="preserve">Death on the Nile</t>
  </si>
  <si>
    <t xml:space="preserve">Agatha Christie</t>
  </si>
  <si>
    <t xml:space="preserve">[Watch-HD]] Movie Death on the Nile (2020) Full Online Full qzo</t>
  </si>
  <si>
    <t xml:space="preserve">CLICK THIS LINK TO WATCH &gt;&gt; https://iyxwfilm.xyz/movie/505026/death-on-the-nile.html\n\n\n\nMovieS.4K.UltraHD!~FERVOR* HOW to Watch Death on the Nile Online legally &amp; For Free; here you can Watch Full Movie 3D Action HD Watch Death on the Nile (2020) Online Free Full Movie, 8 Movies to Watch ‘Death on the Nile’ Film, Full. Death on the Nile 2020 Full Movie Free Streaming Online with English Subtitles ready for download,Death on the Nile 2020 720p, 1080p, BrRip, DvdRip, High Quality.\n\n\n\n█████████████████████████████████████████████████\n\n\n\nWatch NOW: https://iyxwfilm.xyz/movie/505026/death-on-the-nile.html\n\nNow : https://iyxwfilm.xyz/movie/505026/death-on-the-nile.html\n\nDeath on the Nile\n\n\n\nGenre: Crime, Mystery, Drama, Thriller\n\n\n\nStars: 20th Century Studios, Scott Free Productions, Kinberg Genre, The Mark Gordon Company, TSG Entertainment, The Estate of Agatha Christie &amp; United States of America\n\n\n\nRelease date: 2020-12-17 (0min)\n\nCrime, Mystery, Drama, Thriller20th Century Studios, Scott Free Productions, Kinberg Genre, The Mark Gordon Company, TSG Entertainment, The Estate of Agatha Christie &amp; United States of America\n\n\n\nSYNOPSIS AND DETAILS :\n\nBelgian sleuth Hercule Poirot’s Egyptian vacation aboard a glamorous river steamer turns into a terrifying search for a murderer when a picture-perfect couple’s idyllic honeymoon is tragically cut short.\n\nBEST!~EXPRES*Movies.4K-How to watch Death on the Nile FULL Movie Online Free? HQ Reddit [DVD-ENGLISH] Death on the Nile (2020) Full Movie Watch online free Dailymotion [#Death on the Nile] Google Drive/[DvdRip-USA/Eng-Subs] Death on the Nile! (2020) Full Movie Watch online No Sign Up 123 Movies Online !! Death on the Nile (2020) [EMPIREZ] | Watch Death on the Nile Online 2020 Full Movie Free HD.720Px|Watch Death on the Nile Online 2020 Full MovieS Free HD !! Death on the Nile (2020) with English Subtitles ready for download, Death on the Nile 2020 720p, 1080p, BrRip, DvdRip, Youtube, Reddit, Multilanguage and High Quality. Full Movie download at Openload, Netflix, Filmywap, movierulz, StreamLikers, Tamilrockers, putlockers, Streamango, 123movies.\n\n\n\nIn Death on the Nile, the gang is back but the game has changed. As they return to rescue one of their own, the players will have to brave parts unknown from arid deserts to snowy mountains, to escape the world’s most dangerous game. Death on the Nile (2020) [CARTERET] | Watch Death on the Nile Online 2020 Full Movie Free HD.720Px|Watch Death on the Nile Online 2020 Full MovieS Free HD !! Death on the Nile (2020) with English Subtitles ready for download, Death on the Nile 2020 720p, 1080p, BrRip, DvdRip, Youtube, Reddit, Multilanguage and High Quality.\n\n\n\nWatch Death on the Nile Online Free Streaming, Watch Death on the Nile Online Full Streaming In HD Quality, Let’s go to watch the latest movies of your favorite movies, Death on the Nile. come on join us!!\n\n\n\nWhat happened in this movie?\n\n\n\nI have a summary for you. It’s the first rose ceremony of the movie and the drama is already ratcheted up! Two very different men – Blake and Dylan – have their hearts set on handing their rose to HDeath on the Nileh G., but who will offer it to her and will she accept?\n\n\n\nAll About The movies\n\n\n\nEuphoria centers on CDC researcher Abby Arcane. When she returns to her childhood home of Houma, Louisiana, in order to investigate a deadly swamp-borne virus, she develops a surprising bond with scientist Alec Holland — only to have him tragically taken from her. But as powerful forces descend on Houma, intent on exploiting the swamp’s mysterious properties for their own purposes, Abby will discover that the swamp holds mystical secrets, both horrifying and wondrous — and the potential love of her life may not be after all.\n\n\n\nPublic Group\n\n\n\n2 minutes ago\n\n\n\nmoviesfree co Watch Online Death on the Nile: Complete movies Free Online Full Strengthens Crusaders and mountan Moorish comders rebelled against the British crown.\n\n\n\nHow long have you fallen asleep during Death on the Nile Movie? The music, the story, and the message are phenomenal in Death on the Nile. I have never been able to see another Movie five times like I did this. Come back and look for the second time and pay attention.\n\n\n\nWatch Death on the Nile WEB-DL movies This is losing less lame files from streaming Death on the Nile, like Netflix, Amazon Video.\n\n\n\nHulu, Death on the Nilechy roll, DiscoveryGO, BBC iPlayer, etc. These are also movies or TV shows that are downloaded through online distribution sites, such as iTunes.\n\n\n\nThe quality is quite good because it is not re-encoded. Video streams (H.264 or H.265) and audio (AC3 / Death on the Nile) are usually extracted from iTunes or Amazon Video and then reinstalled into the MKV container without sacrificing quality. Download Euphoria Movie Season 1 Movie 6 One of the streaming movies.\n\n\n\nWatch Death on the Nile Miles Morales conjures his life between being a middle school student and becoming Death on the Nile.\n\n\n\nHowever, when Wilson “Kingpin” Fiskuses as a super collider, another Captive State from another dimension, Peter Parker, accidentally ended up in the Miles dimension.\n\n\n\nWhen Peter trained the Miles to get better, Spider-, they soon joined four other Death on the Nile from across the “Spider-Verse”. Because all these conflicting dimensions begin to destroy Brooklyn, Miles must help others stop Fisk and return everyone to their own dimensions.\n\n\n\nthe industry’s biggest impact is on the DVD industry, which effectively met its destruction by mass popularizing online content. The emergence of streaming media has caused the fall of y DVD rental companies such as Blockbuster. In July 2020, an article from the New York Times published an article about Netflix DVD, No ches Frida 2s. It was stated that Netflix was continuing their DVD No. No Frida 2s with 5.3 million customers, which was a significant decrease from the previous year. On the other hand, their streaming, No ches Frida 2s, has 65 million members. In a March 2020 study that assessed “The Impact of movies of Streaming on Traditional DVD Movie Rentals” it was found that respondents did not buy DVD movies nearly as much, if ever, because streaming had taken over the market.\n\n\n\nSo we get more space adventures, more original story material and more about what will make this 21st MCU movie different from the previous 20 MCU films.\n\n\n\nWatch Final Space Season 2 — Movie 6, viewers don’t consider the quality of movies to differ significantly between DVDs and online streaming. Problems that according to respondents need to be improved by streaming movies including fast forwarding or rewinding functions, and search functions. This article highlights that streaming quality movies as an industry will only increase in time, because advertising revenues continue to soar on an annual basis across industries, providing incentives for the production of quality content.\n\n\n\nHe is someone we don’t see happening. Still, Brie Larson’s resume is impressive. The actress has been playing on TV and film sets since she was 11 years old. One of those confused with Swedish player Alicia Vikander (Tomb Raider) won an Oscar in 2016. She was the first Marvel movie star with a female leader. . And soon, he will play a CIA agent in a movies commissioned by Apple for his future platform. The movies he produced together.\n\n\n\nUnknown to the general public in 2016, this “neighbor girl” won an Academy Award for best actress for her poignant appearance in the “Room”, the true story of a wo who was exiled with her child by predators. He had overtaken Cate Blanchett and Jennifer Lawrence, both of them had Death on the Nile out of statues, but also Charlotte Rampling and Saoirse Ronan.\n\n\n\nWatch Death on the Nile Movie Online Blu-rayor Bluray rips directly from Blu-ray discs to 1080p or 720p (depending on source), and uses the x264 codec. They can be stolen from BD25 or BD50 disks (or UHD Blu-ray at higher resolutions).\n\n\n\nBDRips comes from Blu-ray discs and are encoded to lower resolution sources (ie 1080p to720p / 576p / 480p). BRRip is a video that has been encoded at HD resolution (usually 1080p) which is then transcribed to SD resolution. Watch Death on the Nile The BD / BRRip Movie in DVDRip resolution looks better, however, because the encoding is from a higher quality source.\n\n\n\nBRRips only from HD resolution to SD resolution while BDRips can switch from 2160p to 1080p, etc., as long as they drop in the source disc resolution. Watch Death on the Nile Movie Full BDRip is not transcode and can move down for encryption, but BRRip can only go down to SD resolution because they are transcribed.\n\n\n\nAt the age of 26, on the night of this Oscar, where he appeared in a steamy blue gauze dress, the reddish-haired actress gained access to Hollywood’s hottest actress club.\n\n\n\nBD / BRRips in DVDRip resolution can vary between XviD orx264codecs (generally measuring 700MB and 1.5GB and the size of DVD5 or DVD9: 4.5GB or 8.4GB) which is larger, the size fluctuates depending on the length and quality of release, but increasingly the higher the size, the more likely they are to use the x264 codec.\n\n\n\nWith its classic and secret beauty, this Californian from Sacramento has won the Summit. He was seen on “21 Jump Street” with Channing Tatum, and “Crazy Amy” by Judd Apatow. And against more prominent actresses like Jennifer Lawrence, Gal Gadot or Scarlett Johansson, Brie Larson signed a seven-contract deal with Marvel.\n\n\n\nThere is nothing like that with Watch The Curse of La Llorona Free Online, which is signed mainly by women. And it feels. When he’s not in a combination of full-featured superheroes, Carol Danvers Death on the Niles Nirvana as Death on the Niley anti-erotic as possible and proves to be very independent. This is even the key to his strength</t>
  </si>
  <si>
    <t xml:space="preserve">2020-10-17</t>
  </si>
  <si>
    <t xml:space="preserve">https://doi.org/10.5281/zenodo.4098802</t>
  </si>
  <si>
    <r>
      <rPr>
        <sz val="10"/>
        <rFont val="Noto Sans CJK SC"/>
        <family val="2"/>
      </rPr>
      <t xml:space="preserve">違法配信スパム。</t>
    </r>
    <r>
      <rPr>
        <sz val="10"/>
        <rFont val="Calibri"/>
        <family val="0"/>
        <charset val="1"/>
      </rPr>
      <t xml:space="preserve">2020</t>
    </r>
    <r>
      <rPr>
        <sz val="10"/>
        <rFont val="Noto Sans CJK SC"/>
        <family val="2"/>
      </rPr>
      <t xml:space="preserve">年映画版（</t>
    </r>
    <r>
      <rPr>
        <sz val="10"/>
        <rFont val="Calibri"/>
        <family val="0"/>
        <charset val="1"/>
      </rPr>
      <t xml:space="preserve">Christie</t>
    </r>
    <r>
      <rPr>
        <sz val="10"/>
        <rFont val="Noto Sans CJK SC"/>
        <family val="2"/>
      </rPr>
      <t xml:space="preserve">原作、</t>
    </r>
    <r>
      <rPr>
        <sz val="10"/>
        <rFont val="Calibri"/>
        <family val="0"/>
        <charset val="1"/>
      </rPr>
      <t xml:space="preserve">Estate</t>
    </r>
    <r>
      <rPr>
        <sz val="10"/>
        <rFont val="Noto Sans CJK SC"/>
        <family val="2"/>
      </rPr>
      <t xml:space="preserve">明記）への参照。映画化作品経由</t>
    </r>
  </si>
  <si>
    <t xml:space="preserve">OABASEV1_1b43ff02a9b1b3b0</t>
  </si>
  <si>
    <t xml:space="preserve">W000020875</t>
  </si>
  <si>
    <t xml:space="preserve">W6931456987</t>
  </si>
  <si>
    <t xml:space="preserve">Works</t>
  </si>
  <si>
    <t xml:space="preserve">Wilkie Collins</t>
  </si>
  <si>
    <t xml:space="preserve">Review: Wilkie Collins, Medicine and the Gothic, by Laurence Talairach-Vielmas</t>
  </si>
  <si>
    <t xml:space="preserve">Book Review| June 01 2011 Review: Wilkie Collins, Medicine and the Gothic, by Laurence Talairach-Vielmas Laurence Talairach-VielmasWilkie Collins, Medicine and the Gothic. Cardiff: University of Wales Press, 2009. Pp. x + 248. $85. Jessica Straley Jessica Straley University of Utah Search for other works by this author on: This Site PubMed Google Scholar Nineteenth-Century Literature (2011) 66 (1): 116–119. https://doi.org/10.1525/ncl.2011.66.1.116 Views Icon Views Article contents Figures &amp; tables Video Audio Supplementary Data Peer Review Share Icon Share Facebook Twitter LinkedIn MailTo Tools Icon Tools Get Permissions Cite Icon Cite Search Site Citation Jessica Straley; Review: Wilkie Collins, Medicine and the Gothic, by Laurence Talairach-Vielmas. Nineteenth-Century Literature 1 June 2011; 66 (1): 116–119. doi: https://doi.org/10.1525/ncl.2011.66.1.116 Download citation file: Ris (Zotero) Reference Manager EasyBib Bookends Mendeley Papers EndNote RefWorks BibTex toolbar search Search Dropdown Menu toolbar search search input Search input auto suggest filter your search All ContentNineteenth-Century Literature Search This content is only available via PDF. © 2011 by The Regents of the University of California Article PDF first page preview Close Modal You do not currently have access to this content.</t>
  </si>
  <si>
    <t xml:space="preserve">2011-06-01</t>
  </si>
  <si>
    <t xml:space="preserve">https://doi.org/10.1525/ncl.2011.66.1.116</t>
  </si>
  <si>
    <r>
      <rPr>
        <sz val="10"/>
        <rFont val="Noto Sans CJK SC"/>
        <family val="2"/>
      </rPr>
      <t xml:space="preserve">ターゲット題名「</t>
    </r>
    <r>
      <rPr>
        <sz val="10"/>
        <rFont val="Calibri"/>
        <family val="0"/>
        <charset val="1"/>
      </rPr>
      <t xml:space="preserve">Works</t>
    </r>
    <r>
      <rPr>
        <sz val="10"/>
        <rFont val="Noto Sans CJK SC"/>
        <family val="2"/>
      </rPr>
      <t xml:space="preserve">」は総称的。</t>
    </r>
    <r>
      <rPr>
        <sz val="10"/>
        <rFont val="Calibri"/>
        <family val="0"/>
        <charset val="1"/>
      </rPr>
      <t xml:space="preserve">Collins</t>
    </r>
    <r>
      <rPr>
        <sz val="10"/>
        <rFont val="Noto Sans CJK SC"/>
        <family val="2"/>
      </rPr>
      <t xml:space="preserve">作品研究の書評</t>
    </r>
  </si>
  <si>
    <t xml:space="preserve">OABASEV1_364df22a5aab93f3</t>
  </si>
  <si>
    <t xml:space="preserve">W000005717</t>
  </si>
  <si>
    <t xml:space="preserve">W2325081710</t>
  </si>
  <si>
    <t xml:space="preserve">Ficciones</t>
  </si>
  <si>
    <t xml:space="preserve">Jorge Luis Borges</t>
  </si>
  <si>
    <t xml:space="preserve">O AUTOR E A PERSONAGEM: A CONTRIBUIÇÃO DE CONCEITOS BAKHTINIANOS NA LEITURA DE UM CONTO DE BORGES</t>
  </si>
  <si>
    <t xml:space="preserve">Considering theoretical concepts presented by Mikhail Bakhtin in Problems of Dostoevsky's Poetics and Aesthetics of verbal creation, this essay intends to discuss the categories of autor and character in fiction, understanding them in their mutual discursive relations.Although, in Bakhtin's works, the discussion in correlated mostly to the novel as a genre (with an special emphasis on Dostoevsky's novels), this essay reconsiders the discussion from the viewpoint of Macabéa -Revista Eletrônica do Netlli | V. 4, N. 2, p. 13-20, jul.-dez.2015 another literary genre, the short story.To do so, we analyze the narrative relations found in "The form of the sword", a short story written by Jorge Luis Borges and published in his book Ficciones. ResumoPartindo das concepções teóricas apresentadas por Mikhail Bakhtin em Problemas da poética de Dostoiévski e em Estética da criação verbal, o presente artigo pretende discutir as categorias ficcionais de autor e personagem, compreendendo-as em suas mútuas relações discursivas.</t>
  </si>
  <si>
    <t xml:space="preserve">2016-05-25</t>
  </si>
  <si>
    <t xml:space="preserve">https://doi.org/10.47295/mren.v4i2.1086</t>
  </si>
  <si>
    <t xml:space="preserve">OABASEV1_d932721f4bb124e6</t>
  </si>
  <si>
    <t xml:space="preserve">W000000893</t>
  </si>
  <si>
    <t xml:space="preserve">W2590018682</t>
  </si>
  <si>
    <t xml:space="preserve">Dracula</t>
  </si>
  <si>
    <t xml:space="preserve">Bram Stoker</t>
  </si>
  <si>
    <t xml:space="preserve">Specularity and engulfment: Francis Ford Coppola and Bram Stoker's Dracula</t>
  </si>
  <si>
    <t xml:space="preserve">In this chapter, I shall discuss a group of recent American films that presents a distinct variation of the horror film I call &amp;s;yuppie horror&amp;s;. This group includes, among others, After Hours (1985), Desperately Seeking Susan (1985), Something Wild (1986), Fatal Attraction (1987), Bad Influence (1991), Pacific Heights (1990), The Hand that Rocks the Cradle (1992), Poison Ivy (1992), Single White Female (1992) and The Temp (1993). Some of these films, to be sure, reveal affinities to other genres: both Something Wild and Desperately Seeking Susan, for example, possess elements of screwball comedy — a genre, it is worth noting, that shares with horror the irruption of the irrational into the workaday world. Yet, to a significant extent, all these films retain much of the style and syntax of the horror genre, while substituting a new set of semantic elements. And although it may be argued that some of these movies exhibit only a minimal relation to the horror film, together they form a distinct generic cycle that, instead of expressing the repression and contradictions of bourgeois society generally, as many critics agree is central to the ideology of the genre, 1 specifically addresses the anxieties of an affluent culture in an era of prolonged recession.</t>
  </si>
  <si>
    <t xml:space="preserve">2013-04-15</t>
  </si>
  <si>
    <t xml:space="preserve">https://doi.org/10.4324/9780203349847-22</t>
  </si>
  <si>
    <r>
      <rPr>
        <sz val="10"/>
        <rFont val="Noto Sans CJK SC"/>
        <family val="2"/>
      </rPr>
      <t xml:space="preserve">題名は </t>
    </r>
    <r>
      <rPr>
        <sz val="10"/>
        <rFont val="Calibri"/>
        <family val="0"/>
        <charset val="1"/>
      </rPr>
      <t xml:space="preserve">"Bram Stoker's Dracula"</t>
    </r>
    <r>
      <rPr>
        <sz val="10"/>
        <rFont val="Noto Sans CJK SC"/>
        <family val="2"/>
      </rPr>
      <t xml:space="preserve">（映画）を明示。抄録は別論文（</t>
    </r>
    <r>
      <rPr>
        <sz val="10"/>
        <rFont val="Calibri"/>
        <family val="0"/>
        <charset val="1"/>
      </rPr>
      <t xml:space="preserve">yuppie horror</t>
    </r>
    <r>
      <rPr>
        <sz val="10"/>
        <rFont val="Noto Sans CJK SC"/>
        <family val="2"/>
      </rPr>
      <t xml:space="preserve">）の誤付与と思われる</t>
    </r>
  </si>
  <si>
    <t xml:space="preserve">OABASEV1_914322e90312cd53</t>
  </si>
  <si>
    <t xml:space="preserve">W000031539</t>
  </si>
  <si>
    <t xml:space="preserve">W2143212400</t>
  </si>
  <si>
    <t xml:space="preserve">The Heritage of the Desert</t>
  </si>
  <si>
    <t xml:space="preserve">Zane Grey</t>
  </si>
  <si>
    <t xml:space="preserve">Translating Southwestern Landscapes: The Making of an Anglo Literary Region by Audrey Goodman</t>
  </si>
  <si>
    <t xml:space="preserve">3 0 4 WAL 3 8 . 3 F a l l 2 0 0 3 “an absent signifier” (56). While agreeing with Donald Worster that Stein­ beck looks favorably on the myth of the yeoman, he argues that this nostalgia “does not detract from the book’s success in subverting the hydroindustrial paradigm” (57). Cassuto continues his look at the power inherent in the excesses of fed­ eral hydrologic projects by examining Abbey’s The Monkey Wrench Gang through “faux potlatch," based on Georges Bataille’s theories. For Cassuto the monkey wrenchers’ plan to blow up Glen Canyon Dam represents “the ultimate potlatch” and a replacement of the faux potlatch of federal control (81). In examining Barbara Kingsolver’s Animal Dreams, Cassuto turns to sys­ tems theory to discuss “the difficulties inherent in the construction of a postReclamation era” (97). His analysis underscores the importance of differing definitions used by the characters on both sides of the dam dispute. As with Austin’s novel, Cassuto reads the novel’s positive ending as forced, suggesting the success of Kingsolver’s characters is a limited victory, one that offers little hope in terms of changing water policy. Throughout the book Cassuto, who now practices environmental law, gives a clear overview of a century of water politics, contributing to western American literature by showing the ways in which dominant cultural myths not only influence novelists, but also creators of water policy. Translating Southwestern Landscapes: The Making of an Anglo Literary Region. By Audrey Goodman. Tucson: U n iversity o f A rizona Press, 2002. 224 pages, $40.00. Reviewed by Maureen Salzer U niversity of W isconsin, Superior In this interdisciplinary study of the cultural forces that have constructed the American Southwest as a distinct region, Audrey Goodman draws upon cultural geography, borderland studies, postmodern ethnography, ethnocriticism , economic analysis, and theories of tourism to construct an analysis of the Southwest as a series of imagined translations. Goodman focuses on East Coast bourgeois writers and photographers who represented the Southwest to Englishspeaking , dominant-culture readers: Charles Lummis, Zane Grey, Mark Strand, Ansel Adams, Mary Austin, and Willa Cather. Goodman argues that defini­ tions of region are necessarily partial and contingent, that constructions of region are culturally and aesthetically specific, and that closure usefully eludes us in an imagined southwestern landscape. The book begins with popular writers Charles Lummis and Zane Grey. Goodman finds value in Lummis’s use of multiple written genres and his doc­ umentary photography, briefly discussing his 1892 A Tramp across the Continent and comparing his translations of Pueblo stories (1894’s The Man Who Married the Moon and Other Pueblo Indian Folk-Stories) to those of Frank Hamilton B o o k r e v i e w s 3 0 5 Cushing. Goodman rightly emphasizes the difficulties of intercultural transla­ tion. Next Goodman considers how Zane Grey’s early novels—The Heritage of the Desert (1910), The Riders of the Purple Sage (1912), Desert Gold (1913), and The Rainbow Trail (1915)— establish utopian visions of the Southwest within a network of social, political, and economic forces, including religion, eco­ nomic opportunity, gender roles, borderlands issues, and personal property rights. A sublime or enchanted landscape, free of history, coexists with cultural difference and lack of economic parity. Next, art photographers Mark Strand and Ansel Adams, both protégés of Alfred Stieglitz, are shown to have developed their work in relation to earlier documentary photographers Carleton Watkins and William Henry Jackson, who primarily produced landscapes, and to Ben Wittick, Lummis, and Edward Curtis, whose subjects included Native people and their communities. Their work is contrasted with the innovative work of contemporary photographer Alex Harris. Goodman’s chapter on Mary Austin and the modernist Southwest dis­ cusses the then current popularity of things Native, Mabel Dodge Luhan and her problematic participation in Native cultures, D. H. Lawrence’s visions of the American Southwest, and Boasian anthropology. Austin’s early regionalist work in Land of Little Rain (1903) is found to have clearly modernist narra­ tive structures that differentiate it from earlier local color writings. Austin’s later subjective and intuitive translations of Native verbal art are rightly seen as partial and...</t>
  </si>
  <si>
    <t xml:space="preserve">2003.0</t>
  </si>
  <si>
    <t xml:space="preserve">2003-01-01</t>
  </si>
  <si>
    <t xml:space="preserve">https://doi.org/10.1353/wal.2003.0003</t>
  </si>
  <si>
    <r>
      <rPr>
        <sz val="10"/>
        <rFont val="Noto Sans CJK SC"/>
        <family val="2"/>
      </rPr>
      <t xml:space="preserve">抄録後半で </t>
    </r>
    <r>
      <rPr>
        <sz val="10"/>
        <rFont val="Calibri"/>
        <family val="0"/>
        <charset val="1"/>
      </rPr>
      <t xml:space="preserve">The Heritage of the Desert (1910) </t>
    </r>
    <r>
      <rPr>
        <sz val="10"/>
        <rFont val="Noto Sans CJK SC"/>
        <family val="2"/>
      </rPr>
      <t xml:space="preserve">を明示</t>
    </r>
  </si>
  <si>
    <t xml:space="preserve">OABASEV1_5a8d0e1f0cef9c69</t>
  </si>
  <si>
    <t xml:space="preserve">W000021197</t>
  </si>
  <si>
    <t xml:space="preserve">W2764107105</t>
  </si>
  <si>
    <t xml:space="preserve">The Black Cat</t>
  </si>
  <si>
    <t xml:space="preserve">Analysis of Figurative Language in The Tell Tale Heart and Other Stories by Edgar Allan Poe</t>
  </si>
  <si>
    <t xml:space="preserve">This study presents a detailed analysis of figurative language in Edgar Allan Poe's short stories, specifically The Tell-Tale Heart, The Black Cat, and The Fall of the House of Usher. Using a qualitative, descriptive methodology, the research investigates various forms of figurative language, such as metaphor, simile, personification, and hyperbole, to examine their role in developing the themes of psychological horror and the macabre. The findings reveal that Poe employs figurative language strategically to enhance the unsettling atmosphere of his narratives. Alliteration is used extensively to create rhythmic and phonetic cohesion, heightening the eerie and suspenseful mood characteristic of his works. In contrast, allusion is used sparingly, suggesting Poe’s selective approach to external references. Metaphors and personification are pivotal in illustrating psychological states such as guilt, paranoia, and existential dread, contributing significantly to the depth and resonance of his themes. These stylistic choices demonstrate how Poe's innovative use of language immerses readers in the complexities of the human psyche, offering a profound exploration of mortality and moral conflict. By intertwining linguistic artistry with psychological depth, Poe’s narratives invite readers to confront the darker facets of existence. This study underscores Poe’s enduring influence on literary expression, showcasing how his mastery of figurative language has shaped the genre of psychological horror and cemented his legacy as a pioneer in exploring the macabre through nuanced and evocative storytelling.</t>
  </si>
  <si>
    <t xml:space="preserve">2024-08-30</t>
  </si>
  <si>
    <t xml:space="preserve">https://doi.org/10.32877/narasi.v1i3.1973</t>
  </si>
  <si>
    <t xml:space="preserve">OABASEV1_c618dcf76ce56b0a</t>
  </si>
  <si>
    <t xml:space="preserve">W000018553</t>
  </si>
  <si>
    <t xml:space="preserve">W4406009583</t>
  </si>
  <si>
    <t xml:space="preserve">The poetical works of Thomas Gray, ... with some account of his life and writings. The whole carefully revised; and illustrated by notes, original and selected. To which are annexed, poems written by, addressed to, or in memory of, Mr. Gray</t>
  </si>
  <si>
    <t xml:space="preserve">OABASEV1_b3125913f53d8a90</t>
  </si>
  <si>
    <t xml:space="preserve">W7042655948</t>
  </si>
  <si>
    <t xml:space="preserve">Following the Equator</t>
  </si>
  <si>
    <t xml:space="preserve">Mark Twain</t>
  </si>
  <si>
    <t xml:space="preserve">The writings of Mark Twain /</t>
  </si>
  <si>
    <t xml:space="preserve">1-2. The innocents abroad; or, The new Pilgrim's progress.--3-4. Roughing it.--5-6. The gilded age, a tale of to-day, by Mark Twain ... and Charles Dudley Warner.--7. Sketches, new and old.--8. The adventures of Tom Sawyer.--9-10. A tramp abroad.--11. The prince and the pauper; a tale for young people of all ages.--12. Life on the Mississippi.--13. The adventures of Huckleberry Finn.--14. A Connecticut Yankee in King Arthur's court.--15. The American claimant, and other stories and sketches.--16. Pudd'nhead Wilson and those extraordinary twins.--17-18. Personal recollections of Joan of Arc, by the Sieur Louis de Conte [pseud.] ... tr. out of the ancient French ... by Jean François Alden [pseud.]--19. Tom Sawyer abroad; Tom Sawyer detective; and otherstories, etc.--20-21. Following the equator; a journey around the world.--22. In defense of Harriet Shelley, and other essays.--23. The man that corrupted Hadleyburg, and other essays and stories.--24. The 30,000 bequest, and other stories.--25. Christian science, with notes containing correcitons to date.--26. What is man? and other essays.--27. The mysterious stranger, and other stories.--28. Mark Twain's speeches.--29. Europe and elsewhere.--30-33. Mark Twain, a biography. The personal and literary life of Samuel Langhorne Clemens, by Albert Bigelow Paine.--34-35. Marks Twain's letters, arranged with comment by Albert Bigelow Paine.--36-37. Mark Twain's autobiography.</t>
  </si>
  <si>
    <r>
      <rPr>
        <sz val="10"/>
        <rFont val="Noto Sans CJK SC"/>
        <family val="2"/>
      </rPr>
      <t xml:space="preserve">全集目次中に </t>
    </r>
    <r>
      <rPr>
        <sz val="10"/>
        <rFont val="Calibri"/>
        <family val="0"/>
        <charset val="1"/>
      </rPr>
      <t xml:space="preserve">"Following the equator" </t>
    </r>
    <r>
      <rPr>
        <sz val="10"/>
        <rFont val="Noto Sans CJK SC"/>
        <family val="2"/>
      </rPr>
      <t xml:space="preserve">を明記</t>
    </r>
  </si>
  <si>
    <t xml:space="preserve">OABASEV1_98db6d40750c6b85</t>
  </si>
  <si>
    <t xml:space="preserve">W000022689</t>
  </si>
  <si>
    <t xml:space="preserve">W6997388695</t>
  </si>
  <si>
    <t xml:space="preserve">Rogue Male</t>
  </si>
  <si>
    <t xml:space="preserve">Geoffrey Household</t>
  </si>
  <si>
    <t xml:space="preserve">"Occult Sympathy": Geoffrey Household's Watcher in the Shadows and Dance of the Dwarfs</t>
  </si>
  <si>
    <t xml:space="preserve">Drawing on the Edwardian adventure tale's theme of hunter and hunted exemplified by John Buchan's The Thirty-Nine Steps (1915), Geoffrey Household's Rogue Male (1939), his best-known thriller, dramatizes the exploits of an unnamed narrator who, after unsuccessfully attempting to assassinate an unspecified Central European demagogue, is literally run to ground in the Dorset countryside. A belated sequel titled Rogue Justice (1982) christens this persona Raymond Ingelram, fictionally the descendant of fifteen British generations whose aristocratic standing has been marginalized by interwar upheavals in the social order.1 Of immediate interest, though, is what transpires at the end of Rogue Male. After eleven days of being besieged in his subterranean redoubt by pseudonymous Major QuiveSmith, an anglicized Nazi agent, Ingelram contrives ballista and kills his adversary by impaling him with an iron spike. Noticing their facial resemblance, the displaced representative of English nobility then alters his appearance to replicate the photographic image in QuiveSmith's forged passport and thereby ensure his departure from the United Kingdom disguised as Latin American gentleman still intent on completing his earlier mission (181).Such plot-driven (re)doubling differs from the familiar nineteenthcentury topos of the Doppelganger. In James Hogg's The Private Memoirs and Confessions of Justified Sinner (1824), Fyodor Dostoevsky's The Double (1846), and Robert Louis Stevenson's The Strange Case of Dr. Jekyll and Mr. Hyde (1886), to cite only few novels, the projected other inversely mirrors the putative self. Narratives of this kind usually introduce us early on to the operative binary and its reversal, thereby proving fertile texts for psychoanalytic critics.2Things are less predictable, however, in the modern thriller. We thus do not discover until Rogue Male's denouement that its protagonist is prepared to abandon his ancestral identity for Quive-Smith's fraudulent impersonation or that, once he has adopted the ruse, Ingelram will pursue again his appointment with destiny. The governing dynamic of this mode of fiction, consequently, is far removed from the orientation of Erskine Childers's The Riddle of the Sands (1903) in which we encounter valorized emblems of Britannia's inevitable triumph over the combined forces of darkness. Dispensing with such reductive polarities, the genre of the thriller as we know it today first flourished during the 1930s when, in the aftermath of World War I, former constructs of inviolability such as the morally unassailable nation-state, universally shared codes of value, and an integrated, perspicuous self were rapidly unraveling.3 The best of Household's books reflect these changes while sometimes explicitly framing them in relation to manifestations of Edwardian stability.His character Raymond Ingelram, for example, deviates from such Clubland heroes as Buchan's Richard Hannay and Childers's Arthur H. Davies in two important ways.4 First, whereas Rogue Male depicts him as a bored and wealthy Englishman in the mold of Hannay (1), Rogue Justice casts Ingelram as the offspring of British father and Austrian mother, no doubt in part to account for how his bilingual fluency facilitates his reentry into the Third Reich. But beyond such practical considerations Household seems committed in several of his productions to denationalizing their protagonists, as though to intimate the obsolescence of ethnocentric or chauvinistic justifications for individual action. The second difference is that the first-person narrator of both Rogue Male and Rogue Justice figures as moral casualty haunted by his wartime experience. Household's 1939 novel suggests that this trauma is linked not only to Ingelram's torturous ordeal after his initial capture but also to subsequent crisis of conscience because his assassination attempt was motivated by the Fascists' murder of his fiancee. …</t>
  </si>
  <si>
    <t xml:space="preserve">2012-05-01</t>
  </si>
  <si>
    <t xml:space="preserve">OABASEV1_4d168835b7f5df31</t>
  </si>
  <si>
    <t xml:space="preserve">W000021044</t>
  </si>
  <si>
    <t xml:space="preserve">W2600546473</t>
  </si>
  <si>
    <t xml:space="preserve">Lear’s Mind</t>
  </si>
  <si>
    <t xml:space="preserve">The greatness of Lear is not in corporal dimension, but in intellectual: the explosions of his passion are terrible as a volcano: they are storms turning up and disclosing to the bottom that sea, his mind, with all its vast riches. It is his mind which is laid bare … while we read [the tragedy] we see not Lear, but we are Lear, — we are in his mind. (Charles Lamb)1 These keywords were added by machine and not by the authors. This process is experimental and the keywords may be updated as the learning algorithm improves.</t>
  </si>
  <si>
    <t xml:space="preserve">2002.0</t>
  </si>
  <si>
    <t xml:space="preserve">2002-01-01</t>
  </si>
  <si>
    <t xml:space="preserve">https://doi.org/10.1057/9780230503038_7</t>
  </si>
  <si>
    <r>
      <rPr>
        <sz val="10"/>
        <rFont val="Noto Sans CJK SC"/>
        <family val="2"/>
      </rPr>
      <t xml:space="preserve">著者名ターゲット：</t>
    </r>
    <r>
      <rPr>
        <sz val="10"/>
        <rFont val="Calibri"/>
        <family val="0"/>
        <charset val="1"/>
      </rPr>
      <t xml:space="preserve">Lamb</t>
    </r>
    <r>
      <rPr>
        <sz val="10"/>
        <rFont val="Noto Sans CJK SC"/>
        <family val="2"/>
      </rPr>
      <t xml:space="preserve">の </t>
    </r>
    <r>
      <rPr>
        <sz val="10"/>
        <rFont val="Calibri"/>
        <family val="0"/>
        <charset val="1"/>
      </rPr>
      <t xml:space="preserve">Lear </t>
    </r>
    <r>
      <rPr>
        <sz val="10"/>
        <rFont val="Noto Sans CJK SC"/>
        <family val="2"/>
      </rPr>
      <t xml:space="preserve">論の引用（一次資料）</t>
    </r>
  </si>
  <si>
    <t xml:space="preserve">OABASEV1_8e26fcdf4369de81</t>
  </si>
  <si>
    <t xml:space="preserve">W000030490</t>
  </si>
  <si>
    <t xml:space="preserve">W2500452646</t>
  </si>
  <si>
    <t xml:space="preserve">Xi you ji</t>
  </si>
  <si>
    <t xml:space="preserve">Wu Cheng'en</t>
  </si>
  <si>
    <r>
      <rPr>
        <sz val="10"/>
        <rFont val="Noto Sans CJK SC"/>
        <family val="2"/>
      </rPr>
      <t xml:space="preserve">西遊眞詮 </t>
    </r>
    <r>
      <rPr>
        <sz val="10"/>
        <rFont val="Calibri"/>
        <family val="0"/>
        <charset val="1"/>
      </rPr>
      <t xml:space="preserve">: [</t>
    </r>
    <r>
      <rPr>
        <sz val="10"/>
        <rFont val="Noto Sans CJK SC"/>
        <family val="2"/>
      </rPr>
      <t xml:space="preserve">一百回 </t>
    </r>
    <r>
      <rPr>
        <sz val="10"/>
        <rFont val="Calibri"/>
        <family val="0"/>
        <charset val="1"/>
      </rPr>
      <t xml:space="preserve">/ </t>
    </r>
    <r>
      <rPr>
        <sz val="10"/>
        <rFont val="Noto Sans CJK SC"/>
        <family val="2"/>
      </rPr>
      <t xml:space="preserve">陳士斌詮解</t>
    </r>
    <r>
      <rPr>
        <sz val="10"/>
        <rFont val="Calibri"/>
        <family val="0"/>
        <charset val="1"/>
      </rPr>
      <t xml:space="preserve">] [volume 7]</t>
    </r>
  </si>
  <si>
    <r>
      <rPr>
        <sz val="10"/>
        <rFont val="Calibri"/>
        <family val="0"/>
        <charset val="1"/>
      </rPr>
      <t xml:space="preserve">The Journey to the West (Xi you ji </t>
    </r>
    <r>
      <rPr>
        <sz val="10"/>
        <rFont val="Noto Sans CJK SC"/>
        <family val="2"/>
      </rPr>
      <t xml:space="preserve">西遊記</t>
    </r>
    <r>
      <rPr>
        <sz val="10"/>
        <rFont val="Calibri"/>
        <family val="0"/>
        <charset val="1"/>
      </rPr>
      <t xml:space="preserve">), one of the Four Great Classical Novels of Chinese literature, is a supernatural novel adapted from a travel account entitled The Great Tang Records on the Western Regions (Datang xiyu ji </t>
    </r>
    <r>
      <rPr>
        <sz val="10"/>
        <rFont val="Noto Sans CJK SC"/>
        <family val="2"/>
      </rPr>
      <t xml:space="preserve">大唐西域記</t>
    </r>
    <r>
      <rPr>
        <sz val="10"/>
        <rFont val="Calibri"/>
        <family val="0"/>
        <charset val="1"/>
      </rPr>
      <t xml:space="preserve">) and composed by the renowned Buddhist master Xuanzang </t>
    </r>
    <r>
      <rPr>
        <sz val="10"/>
        <rFont val="Noto Sans CJK SC"/>
        <family val="2"/>
      </rPr>
      <t xml:space="preserve">玄奘 </t>
    </r>
    <r>
      <rPr>
        <sz val="10"/>
        <rFont val="Calibri"/>
        <family val="0"/>
        <charset val="1"/>
      </rPr>
      <t xml:space="preserve">(c. 602-664) of the Tang dynasty. Xuanzang took a historical trip from China to India from 629 to 645, intending to obtain Buddhist scriptures written in the original Sanskrit language. Wu Cheng'en </t>
    </r>
    <r>
      <rPr>
        <sz val="10"/>
        <rFont val="Noto Sans CJK SC"/>
        <family val="2"/>
      </rPr>
      <t xml:space="preserve">吳承恩 </t>
    </r>
    <r>
      <rPr>
        <sz val="10"/>
        <rFont val="Calibri"/>
        <family val="0"/>
        <charset val="1"/>
      </rPr>
      <t xml:space="preserve">(c. 1500-c.1582), a Ming novelist and poet, is generally acknowledged as the author of The Journey to the West, who added mythical and legendary figures, such as Monkey King (</t>
    </r>
    <r>
      <rPr>
        <sz val="10"/>
        <rFont val="Noto Sans CJK SC"/>
        <family val="2"/>
      </rPr>
      <t xml:space="preserve">孫悟空</t>
    </r>
    <r>
      <rPr>
        <sz val="10"/>
        <rFont val="Calibri"/>
        <family val="0"/>
        <charset val="1"/>
      </rPr>
      <t xml:space="preserve">), Xuanzang's first and most artful and powerful disciple. USC's copy is a popular commentary edition from the early Qing dynasty, annotated and abridged by the critic Chen Shibing </t>
    </r>
    <r>
      <rPr>
        <sz val="10"/>
        <rFont val="Noto Sans CJK SC"/>
        <family val="2"/>
      </rPr>
      <t xml:space="preserve">陳士斌 </t>
    </r>
    <r>
      <rPr>
        <sz val="10"/>
        <rFont val="Calibri"/>
        <family val="0"/>
        <charset val="1"/>
      </rPr>
      <t xml:space="preserve">(active 17th century; literary name </t>
    </r>
    <r>
      <rPr>
        <sz val="10"/>
        <rFont val="Noto Sans CJK SC"/>
        <family val="2"/>
      </rPr>
      <t xml:space="preserve">號 </t>
    </r>
    <r>
      <rPr>
        <sz val="10"/>
        <rFont val="Calibri"/>
        <family val="0"/>
        <charset val="1"/>
      </rPr>
      <t xml:space="preserve">Wuyizi </t>
    </r>
    <r>
      <rPr>
        <sz val="10"/>
        <rFont val="Noto Sans CJK SC"/>
        <family val="2"/>
      </rPr>
      <t xml:space="preserve">悟一子</t>
    </r>
    <r>
      <rPr>
        <sz val="10"/>
        <rFont val="Calibri"/>
        <family val="0"/>
        <charset val="1"/>
      </rPr>
      <t xml:space="preserve">), along with an additional commentary by Jin Shengtan </t>
    </r>
    <r>
      <rPr>
        <sz val="10"/>
        <rFont val="Noto Sans CJK SC"/>
        <family val="2"/>
      </rPr>
      <t xml:space="preserve">金聖歎 </t>
    </r>
    <r>
      <rPr>
        <sz val="10"/>
        <rFont val="Calibri"/>
        <family val="0"/>
        <charset val="1"/>
      </rPr>
      <t xml:space="preserve">(1608-1661), a prominent literary critic and writer of the late Ming and early Qing periods. Title from container. Double leaves, oriental style, wrire-bound. Kangxi bing zi (35 nian) [1696] zhong qiu Xi tang lao ren you tong zhuan "Xi you zhen quan xu". "Mingzhi gong yi nian qiu tie zhi xiu bu"--Cover page.</t>
    </r>
  </si>
  <si>
    <t xml:space="preserve">2021.0</t>
  </si>
  <si>
    <t xml:space="preserve">2021-01-01</t>
  </si>
  <si>
    <t xml:space="preserve">https://doi.org/10.25549/crbm-ouc113007433</t>
  </si>
  <si>
    <t xml:space="preserve">西遊記の清代注釈版（西遊真詮）。同一作品</t>
  </si>
  <si>
    <t xml:space="preserve">OABASEV1_3c10ec371a36d353</t>
  </si>
  <si>
    <t xml:space="preserve">W000017051</t>
  </si>
  <si>
    <t xml:space="preserve">W7104272792</t>
  </si>
  <si>
    <t xml:space="preserve">Endoscopic Third Ventriculostomy With Choroid Plexus Cauterization Application in the Management of Hydrocephalus in Previously Embolized Vein of Galen Malformations: 2-Dimensional Operative Video</t>
  </si>
  <si>
    <t xml:space="preserve">2026.0</t>
  </si>
  <si>
    <t xml:space="preserve">2026-02-04</t>
  </si>
  <si>
    <t xml:space="preserve">https://doi.org/10.1227/ons.0000000000001915</t>
  </si>
  <si>
    <r>
      <rPr>
        <sz val="10"/>
        <rFont val="Calibri"/>
        <family val="0"/>
        <charset val="1"/>
      </rPr>
      <t xml:space="preserve">"Vein of Galen malformation"</t>
    </r>
    <r>
      <rPr>
        <sz val="10"/>
        <rFont val="Noto Sans CJK SC"/>
        <family val="2"/>
      </rPr>
      <t xml:space="preserve">（解剖学上の名祖）</t>
    </r>
  </si>
  <si>
    <t xml:space="preserve">OABASEV1_eeaba92b82f73015</t>
  </si>
  <si>
    <t xml:space="preserve">W7127635117</t>
  </si>
  <si>
    <t xml:space="preserve">Mrs. Dalloway</t>
  </si>
  <si>
    <t xml:space="preserve">A Feminist Perspective Of Virginia Woolf''s Selected Novels :, Mrs, Dalloway And To The Lighthouse</t>
  </si>
  <si>
    <t xml:space="preserve">2004.0</t>
  </si>
  <si>
    <t xml:space="preserve">2004-01-01</t>
  </si>
  <si>
    <t xml:space="preserve">https://doi.org/10.34065/1262-008-001-006</t>
  </si>
  <si>
    <t xml:space="preserve">OABASEV1_fe29d6729041143d</t>
  </si>
  <si>
    <t xml:space="preserve">W000018010</t>
  </si>
  <si>
    <t xml:space="preserve">W4411806711</t>
  </si>
  <si>
    <t xml:space="preserve">OpenAlex R2+A1 Blind Human Audit — R2A1A03</t>
  </si>
  <si>
    <t xml:space="preserve">Homes and Homelessness in the Victorian Imagination</t>
  </si>
  <si>
    <t xml:space="preserve">The essays in this volume deal centrally with Dickens's images of homelessness, but also with those of other Victorians also - Disraeli, Mrs Gaskell, Israel Zangwill, John Ruskin and Henry James. The issues addressed by these Victorians are the same as those we face today.</t>
  </si>
  <si>
    <t xml:space="preserve">https://doi.org/10.2307/3509424</t>
  </si>
  <si>
    <r>
      <rPr>
        <sz val="10"/>
        <rFont val="Noto Sans CJK SC"/>
        <family val="2"/>
      </rPr>
      <t xml:space="preserve">著者名ターゲット：</t>
    </r>
    <r>
      <rPr>
        <sz val="10"/>
        <rFont val="Calibri"/>
        <family val="0"/>
        <charset val="1"/>
      </rPr>
      <t xml:space="preserve">Victorian</t>
    </r>
    <r>
      <rPr>
        <sz val="10"/>
        <rFont val="Noto Sans CJK SC"/>
        <family val="2"/>
      </rPr>
      <t xml:space="preserve">作家として</t>
    </r>
    <r>
      <rPr>
        <sz val="10"/>
        <rFont val="Calibri"/>
        <family val="0"/>
        <charset val="1"/>
      </rPr>
      <t xml:space="preserve">Henry James</t>
    </r>
    <r>
      <rPr>
        <sz val="10"/>
        <rFont val="Noto Sans CJK SC"/>
        <family val="2"/>
      </rPr>
      <t xml:space="preserve">の作品を扱う</t>
    </r>
  </si>
  <si>
    <t xml:space="preserve">OABASEV1_022e51a1e6c6a919</t>
  </si>
  <si>
    <t xml:space="preserve">W2072025588</t>
  </si>
  <si>
    <t xml:space="preserve">The Marriage Paradox: Modernist Novels and the Cultural Imperative to Marry (review)</t>
  </si>
  <si>
    <t xml:space="preserve">Reviewed by: The Marriage Paradox: Modernist Novels and the Cultural Imperative to Marry Victor Luftig The Marriage Paradox: Modernist Novels and the Cultural Imperative to Marry. Davida Pines . Gainesville: University Press of Florida, 2006. Pp. x + 157. $59.95 (cloth). "The marriage plot is inescapable," Davida Pines begins by announcing. To those of us, such as Rachel Blau DuPlessis, Joseph Boone, and Anne de Cille, who have described modernist novels as offering hostility, resistance, and alternatives to marriage, Pines responds that we have insufficiently acknowledged not just the sturdiness of the institution but modernist fiction's complicity in shoring it up. Chapters devoted to works by Henry James, Ford Madox Ford, D. H. Lawrence, Nella Larsen and Zora Neale Hurston, and Virginia Woolf each analyze apparently disruptive experiments that only ratify the marital impulse. "While the novels I examine offer a relentless critique of the marriage relationship and of the social imperative to marry," Pines says, "the works paradoxically reinforce the marital norm" (3). [End Page 367] Thus, though Portrait of a Lady exposes the forces that compel women to marry, it nevertheless leaves marriage as the sole vehicle for fulfillment of personal desire: "the marriage plot offers," the chapter concludes, "the only way out" (32). Likewise, in spite of relentless ironies and ambiguities revolving around "the discourse of marital failure" (46) in The Good Soldier and Parade's End, "the institution itself remains in place" (54). The attempt of Ursula and Birkin in Women in Love to "transcend marriage" through sexual experimentation "only reinforces its societal hold" (75). Modernist novels by black women writers, such as Quicksand and Their Eyes Were Watching God, "unwittingly reinforce the very institution they intend to critique" (78), because, like Portrait of a Lady, they rely on romantic paradigms of self-fulfillment. And for all the energy that Between the Acts puts towards distinguishing nature from culture, "the novel effectively naturalizes marriage" (96), suggesting a "heterosexual imperative" at the heart of "the cultural construction of the marriage plot" (113). One reason why these novels never shatter the institutional norm is that they are, like much modernist art, resolutely individualist in their priorities. Pines's critique of this emphasis reaches its greatest intensity midway through her chapter on Larsen and Hurston: "As I have argued throughout the book . . . focusing on individuals rather than societal scripts, couples rather than the institution itself, inevitably leads to a reproduction of the status quo" (80). The Marriage Paradox has the feeling of a self-fulfilling prophecy not just in its repeated and dispiriting recognition of such capitulations but also in its own fascination with couples and their personal crises. While Pines includes intermittent references to Victorian and early twentieth-century legal and cultural debates about marriage and divorce, most of the book's energy is focused on intense readings within the marriage plots themselves. Concluding the James chapter with her insistence that marriage is "the only way out" for Isabel and Pansy, Pines cleverly tempts us to ask "'Out' of what?," in order to make us accept the answer "Marriage" and thus to accept her notion of a "paradox." But one can still wish that the chapter had said more about the economic and cultural constraints surrounding marriage that bind the female characters and the realist plot. Though Pines faults the modernist novel for thinking too small, for focusing on individuals rather than the institution, she neglects opportunities to think about structures larger than marriage and especially about why novels and characters seem so insistently drawn to it. An implicit answer is suggested by the very fine chapter on Woolf and then by the smart, expansive conclusion. Pines persuasively reads the treatment of marriage in Between the Acts in relation to the advent of the Second World War; that approach necessarily reminds one that earlier chapters had focused on the First World War novels by Ford and Lawrence and that her Larsen-Hurston chapter had underscored the vulnerability of African-American families before and after emancipation: "While slaves might fall in love, that love was meaningless, nonexistent, under the law. Without legal sanction, families simply disappeared" (80). What most of Pines's chosen novels have in common, then, is...</t>
  </si>
  <si>
    <t xml:space="preserve">2007-04-01</t>
  </si>
  <si>
    <t xml:space="preserve">https://doi.org/10.1353/mod.2007.0042</t>
  </si>
  <si>
    <r>
      <rPr>
        <sz val="10"/>
        <rFont val="Noto Sans CJK SC"/>
        <family val="2"/>
      </rPr>
      <t xml:space="preserve">著者名ターゲット：</t>
    </r>
    <r>
      <rPr>
        <sz val="10"/>
        <rFont val="Calibri"/>
        <family val="0"/>
        <charset val="1"/>
      </rPr>
      <t xml:space="preserve">Portrait of a Lady </t>
    </r>
    <r>
      <rPr>
        <sz val="10"/>
        <rFont val="Noto Sans CJK SC"/>
        <family val="2"/>
      </rPr>
      <t xml:space="preserve">を扱う章</t>
    </r>
  </si>
  <si>
    <t xml:space="preserve">OABASEV1_201920dc1f76fd58</t>
  </si>
  <si>
    <t xml:space="preserve">W2085872073</t>
  </si>
  <si>
    <t xml:space="preserve">Josephus</t>
  </si>
  <si>
    <t xml:space="preserve">Flavius Josephus</t>
  </si>
  <si>
    <t xml:space="preserve">Bibliothek der griechischen und romischen schriftsteller uber judenthum und Juden ...</t>
  </si>
  <si>
    <t xml:space="preserve">v. 1. Das leben Mosis von Philo dem Alexandriner.--v. 2. Die kleineren schriften des Flavius Josephus.--v. 3. Philo des Alexandriners gesammelte schriften.--v. 4. Ueber die opfer Abel's und Kains's; Ueber die nachtsellungen, die das schlechtere dem besseren zu bereiten pflegt; Ueber die sprösslinge des sich weise dünkenden Kain, und wie er ein flüchtling wird; Ueber die riesen; Ueber die unveränderlichkeit Gottes; Verzeichnisz der citirten Bibelstellen.</t>
  </si>
  <si>
    <r>
      <rPr>
        <sz val="10"/>
        <rFont val="Noto Sans CJK SC"/>
        <family val="2"/>
      </rPr>
      <t xml:space="preserve">著者名ターゲット：</t>
    </r>
    <r>
      <rPr>
        <sz val="10"/>
        <rFont val="Calibri"/>
        <family val="0"/>
        <charset val="1"/>
      </rPr>
      <t xml:space="preserve">Josephus</t>
    </r>
    <r>
      <rPr>
        <sz val="10"/>
        <rFont val="Noto Sans CJK SC"/>
        <family val="2"/>
      </rPr>
      <t xml:space="preserve">の小著作集</t>
    </r>
  </si>
  <si>
    <t xml:space="preserve">OABASEV1_c9c71cac4436812a</t>
  </si>
  <si>
    <t xml:space="preserve">W000004772</t>
  </si>
  <si>
    <t xml:space="preserve">W6980247826</t>
  </si>
  <si>
    <t xml:space="preserve">A House of Pomegranates</t>
  </si>
  <si>
    <t xml:space="preserve">Oscar Wilde</t>
  </si>
  <si>
    <t xml:space="preserve">Salomé ; A florentine tragedy ; and, Vera</t>
  </si>
  <si>
    <t xml:space="preserve">The Duchess of Padua 224pp Salome, A Florentine Tragedy and Vera 272pp Lady Windermere's Fan 198pp A Woman Of No Importance 206pp An Ideal Husband 254pp The Importance Of Being Earnest 202pp Lord Arthur Savile's Crime and Other Pieces 274pp Intentions and The Soul of Man 344pp Poems 358pp A House of Pomegranates and Other Tales 266pp De Profundis 230pp The Picture of Dorian Gray For Love of the King [1922] 426pp Reviews 572pp Miscellanies 362pp Bibliography of Oscar Wilde [1914] Stuart Mason 640pp illustrated</t>
  </si>
  <si>
    <t xml:space="preserve">1993.0</t>
  </si>
  <si>
    <t xml:space="preserve">1993-01-01</t>
  </si>
  <si>
    <t xml:space="preserve">全集目録中に明記</t>
  </si>
  <si>
    <t xml:space="preserve">OABASEV1_5b68be2ff4fd0fd4</t>
  </si>
  <si>
    <t xml:space="preserve">W000004062</t>
  </si>
  <si>
    <t xml:space="preserve">W650702868</t>
  </si>
  <si>
    <t xml:space="preserve">Philip Roth's Rude Truth: The Art of Immaturity (review)</t>
  </si>
  <si>
    <t xml:space="preserve">Reviewed by Ranen Omer-Sherman University of Miami Philip Roth's Rude Truth: The Art of Immaturity. Ross Posnock. Princeton, NJ: Princeton University Press, 2006. Pp. xx + 301. $29.95 (cloth). In recent years, there have been a number of very worthy book-length studies of Philip Roth, including Elaine Safer's Mocking the Age: The Later Novels of Philip Roth (2006), Debra Shostak's Philip Roth—Countertexts, Counterlives (2004), and Mark Shechner's Up Society's Ass, Copper: Rereading Philip Roth (2003). Comprehensive volumes of essays addressing Roth's [End Page 592] entire oeuvre have also lately appeared: Tim Parrish's The Cambridge Companion to Philip Roth (2007) and Derek Parker Royal's Philip Roth: New Perspectives on an American Author (2005). In the light of this prolific scholarship (much of it exemplary), it is important to state at the outset that Ross Posnock's study may be the most intellectually complex as well as fiercely independent study of Roth's career to date. At its very best, Posnock's intellectually and imaginatively resonant study of "the art of immaturity" can seem both astonishing and somehow absolutely right. Filled with deft observations, this critical study offers authoritative readings of literature and society which have profound implications that exceed considerations of Roth, its ostensible solitary subject. A staunch Americanist, Posnock's previous works include books on Henry and William James as well as important essays on Ralph Ellison and other African American writers. But here he exhibits a breathtaking ease with an eclectic range of figures (the Frankfurt school, numerous East European writers) that enables him to firmly situate Roth in the cosmopolitan tradition in ways that will likely have a lasting influence on Roth scholarship. In essence, Posnock explains in an elegant formulation that "immaturity" serves the artist as "a vehicle for the exploration of moral fantasy" (38). In the context of Roth's novels, he sees this paradigm expressed through variations on the following: "Freedom from being the good boy, freedom to discover and sublimate in art the anarchic and unsocialized parts of the self—all this requires an undoing of 'maturity,' a wounding of the responsible adult self . . . This process of letting go or undoing defenses defines Roth's creative economy" (38). Posnock is wonderfully attuned to the fact that, especially in Eastern Europe, a milieu that has had a powerful impact on Roth's skeptical imagination, creative immaturity also has profound political stakes, expressing its perverse resistance to totalitarian culture through "love of agonistic combat and rude truth" (9). It staunchly refuses "utopian thinking" and the illusions of "pastoral and idylls" in all their regressive forms. Posnock's introductory chapter begins brilliantly, casting us immediately into the soaring cadences of one of Roth's characters' uninhibited litanies of outrage, as if to establish his sheer pleasure in the novelist's verbal exuberance. Like most Roth critics of late, Posnock is suitably impressed by the fact that, unlike the oeuvres of so many major novelists whose late works lack the ambition and energy of their best days, Roth's most powerful works have emerged in his later years: "This is unprecedented . . . Roth is now beginning to deserve comparison with what is usually regarded as the summit of late turns of novelistic genius—Henry James's major phase at the start of the century" (5–6). In this chapter, Posnock takes immaturity very seriously indeed, cogently tracing its surprising and subversive cultural permutations from the Renaissance through early modernism up until the contemporary novel. At the same time, sensitive to the fact that the privileges of "immaturity" have considerable gender implications (since it is generally allied with a masculinist avant-garde temperament), the author zealously defends Roth against enduring charges of misogyny, pointing out the "depth of characterization" apparent in a wide range of important female protagonists, including Lucy Nelson of the underrated early novel When She Was Good, Michelle Cowan in Sabbath's Theater, and the poignant figure of Faunia Farley in The...</t>
  </si>
  <si>
    <t xml:space="preserve">2007-09-01</t>
  </si>
  <si>
    <t xml:space="preserve">https://doi.org/10.1353/mod.2007.0069</t>
  </si>
  <si>
    <r>
      <rPr>
        <sz val="10"/>
        <rFont val="Noto Sans CJK SC"/>
        <family val="2"/>
      </rPr>
      <t xml:space="preserve">著者名ターゲット：</t>
    </r>
    <r>
      <rPr>
        <sz val="10"/>
        <rFont val="Calibri"/>
        <family val="0"/>
        <charset val="1"/>
      </rPr>
      <t xml:space="preserve">Henry James</t>
    </r>
    <r>
      <rPr>
        <sz val="10"/>
        <rFont val="Noto Sans CJK SC"/>
        <family val="2"/>
      </rPr>
      <t xml:space="preserve">の研究書と「</t>
    </r>
    <r>
      <rPr>
        <sz val="10"/>
        <rFont val="Calibri"/>
        <family val="0"/>
        <charset val="1"/>
      </rPr>
      <t xml:space="preserve">major phase</t>
    </r>
    <r>
      <rPr>
        <sz val="10"/>
        <rFont val="Noto Sans CJK SC"/>
        <family val="2"/>
      </rPr>
      <t xml:space="preserve">」への言及</t>
    </r>
  </si>
  <si>
    <t xml:space="preserve">OABASEV1_35f9666f60ad2bc4</t>
  </si>
  <si>
    <t xml:space="preserve">W2060694246</t>
  </si>
  <si>
    <t xml:space="preserve">BOOK REVIEW: Peter Edgerly Firchow.ENVISIONING AFRICA: RACISM AND IMPERIALISM IN CONRAD'SHEART OF DARKNESS, Lexington: U of Kentucky P, 2000.</t>
  </si>
  <si>
    <t xml:space="preserve">More than 25 years have passed since Chinua Achebe called Joseph Conrad a "bloody racist," and the scholarly world has yet to recover. Scarcely a year goes by without another earnest attempt to soften or rebut Achebe's charges, generally by the judicious invocation of historical context. Achebe himself has stood by the offending comment, even as an entire industry of postcolonial studies has grown up to reiterate the claim in more theoretically polite terms. Achebe's essay, "An Image of Africa," has by now attained a canonical status of its own, being regularly anthologized and invoked whenever discussion turns to Conrad's 1899 novella. Whatever one's ultimate judgment of "Heart of Darkness" itself, Achebe's remark had the decided merit of restoring what Edward Said calls the "worldliness" of the text--its powerful, messy, disturbed and even harrowing implication in the shameful violence of European imperialism. Expelled from the hushed precincts of the modernist pantheon, Conrad's text--despite, or perhaps thanks to, Achebe's intervention--retains an actuality that other masterpieces from the turn of the last century can only envy.</t>
  </si>
  <si>
    <t xml:space="preserve">2001-03-01</t>
  </si>
  <si>
    <t xml:space="preserve">https://doi.org/10.2979/ral.2001.32.1.129</t>
  </si>
  <si>
    <t xml:space="preserve">OABASEV1_2dbf42bcc67cbd6b</t>
  </si>
  <si>
    <t xml:space="preserve">W1985393133</t>
  </si>
  <si>
    <t xml:space="preserve">Dead yellow women</t>
  </si>
  <si>
    <t xml:space="preserve">Dashiell Hammett</t>
  </si>
  <si>
    <t xml:space="preserve">Scorched Earth: Expressions of Modernity in Dashiell Hammett's Pulp Fiction</t>
  </si>
  <si>
    <t xml:space="preserve">Samuel Dashiell Hammett (“Dash”), American author and activist, is today best known for one of the novels he published 1930, The Maltese Falcon. My thesis presents evidence that a close study of a selection of Hammett’s short stories and novels published between 1925 and 1930 (“Dead Yellow Women,” “The Scorched Face,” “The Gutting of Couffignal,” Red Harvest, and The Maltese Falcon) exposes his personal struggle with modernity in America, through a discussion of three motifs. In his stories and novels, Hammett explores the fluctuating treatment of immigrants, and changing social spaces for newly independent women in post-World War I America. He also questions the consequences of increasing mechanization in cities, through everyman detectives Sam Spade and the Continental Op. As Hammett’s career progresses, he continues to passionately challenge the benefits of conservative cultural values, while urging caution against the unreserved embrace of modernism.\nResearch for this paper originated with a close study of Hammett’s letters, and several biographies (including Layman and Ward). A range of critics contributed to a discussion of Hammett as a modernist author (e.g. Wheat and Norman). Articles on post- World War I literature were also essential to my research (e.g. Tate and Stevenson). A review of the available material demonstrated the need to analyze Hammett’s complex relationship with modernity, and how the bond evolved over time. While Hammett establishes specific motifs early in his career, it is not until 1930 that he standardizes his unique portrayal of modernism in American cities, and urges readers to approach modernism in America with cautious optimism.</t>
  </si>
  <si>
    <t xml:space="preserve">2018-02-09</t>
  </si>
  <si>
    <t xml:space="preserve">OABASEV1_f292faa21879ae35</t>
  </si>
  <si>
    <t xml:space="preserve">W000019540</t>
  </si>
  <si>
    <t xml:space="preserve">W2907215993</t>
  </si>
  <si>
    <t xml:space="preserve">Murder on the Orient Express</t>
  </si>
  <si>
    <t xml:space="preserve">THE POETICS OF NARRATIVE UNRELIABILITY AND READER MISDIRECTION IN THE WORKS OF AGATHA CHRISTIE</t>
  </si>
  <si>
    <t xml:space="preserve">This article provides a comprehensive analysis of narrative unreliability and the poetics of reader misdirection in the works of Agatha Christie (1890–1976), the celebrated British detective fiction writer. Drawing on Aristotle’s theory of mimesis, Wayne C. Booth’s concept of the unreliable narrator, and Gérard Genette’s narratology as theoretical frameworks, the study examines four major Christie novels — The Murder of Roger Ackroyd (1926), And Then There Were None (1939), Murder on the Orient Express (1934), and Crooked House (1949). The article identifies and analyses key narrative mechanisms including the red herring technique, selective silence, unreliable focalization, and metatextual deception. Christie’s strategy of subverting genre conventions is further assessed from a literary-philosophical perspective. The conclusion argues that narrative unreliability in Christie’s fiction functions not merely as a genre device, but as an epistemological challenge that interrogates the very nature of truth and the limits of human cognition.</t>
  </si>
  <si>
    <t xml:space="preserve">2026-06-01</t>
  </si>
  <si>
    <t xml:space="preserve">https://doi.org/10.5281/zenodo.20484155</t>
  </si>
  <si>
    <t xml:space="preserve">OABASEV1_4bb9a78f412722ad</t>
  </si>
  <si>
    <t xml:space="preserve">W000020866</t>
  </si>
  <si>
    <t xml:space="preserve">W7163032600</t>
  </si>
  <si>
    <t xml:space="preserve">Le docteur Pascal</t>
  </si>
  <si>
    <t xml:space="preserve">Émile Zola</t>
  </si>
  <si>
    <t xml:space="preserve">La science et ses traductions espagnoles dans l'oeuvre romanesque d'Émile Zola</t>
  </si>
  <si>
    <t xml:space="preserve">Il s'agit d'une etude traductologique ayant comme objet la science traduite en espagnol dans les romans d'Emile Zola. Les romans etudies sont Therese Raquin, La Conquete de Plassans, l'Assommoir, La Joie de Vivre, Germinal, La Terre, La Bete Humaine et Le Docteur Pascal.</t>
  </si>
  <si>
    <t xml:space="preserve">2017-07-18</t>
  </si>
  <si>
    <t xml:space="preserve">OABASEV1_7c983bad21ec6e33</t>
  </si>
  <si>
    <t xml:space="preserve">W000031720</t>
  </si>
  <si>
    <t xml:space="preserve">W2767357015</t>
  </si>
  <si>
    <t xml:space="preserve">Chaucer</t>
  </si>
  <si>
    <t xml:space="preserve">Geoffrey Chaucer</t>
  </si>
  <si>
    <t xml:space="preserve">The works of Geoffrey Chaucer, now newly imprinted</t>
  </si>
  <si>
    <t xml:space="preserve">Title page and 1st text page within decorative borders; ornamental initials and marginal decorations; sidenotes in red. Text in double columns; printed in Chaucer type; with the headings to the longer poems in Troy type; the whole was printed on Batchelor handmade paper watermarked with a fish.</t>
  </si>
  <si>
    <t xml:space="preserve">2018-01-01</t>
  </si>
  <si>
    <t xml:space="preserve">https://doi.org/10.14288/1.0366915</t>
  </si>
  <si>
    <t xml:space="preserve">OABASEV1_2babbfb09ad566a7</t>
  </si>
  <si>
    <t xml:space="preserve">W000005351</t>
  </si>
  <si>
    <t xml:space="preserve">W358502991</t>
  </si>
  <si>
    <t xml:space="preserve">Overview</t>
  </si>
  <si>
    <t xml:space="preserve">Thomas Noon Talfourd (1795–1854), the son of a Reading brewer, was better known for his activities as a literary journalist and author. As the contributor of articles of dramatic criticism to the New Monthly Magazine , he became friendly with many leading writers of the day, including William Hazlitt, Charles Lamb, Godwin’s nineteenth-century disciple Edward Bulwer, and Godwin himself. Talfourd’s retrospective account of Godwin in 1848 is very different from his earlier essay on his writings published in the New Monthly Magazine in 1820. Talfourd writes admiringly of Political Justice and declares his sympathy with its principles, even though he regrets its &amp;s;speculative extravagance&amp;s;. At first glance, Talfourd’s description of Godwin as ‘a man of two beings’ seems to recall Hazlitt’s various accounts of Godwin’s mixed intellectual character. Though the tone of Talfourd’s references to Godwin’s personal demeanour is largely respectful, his emphasis on his subject’s apparent imperturbability also provides a means of defusing his controversial political views.</t>
  </si>
  <si>
    <t xml:space="preserve">2020-04-02</t>
  </si>
  <si>
    <t xml:space="preserve">https://doi.org/10.4324/9780429348259-36</t>
  </si>
  <si>
    <r>
      <rPr>
        <sz val="10"/>
        <rFont val="Noto Sans CJK SC"/>
        <family val="2"/>
      </rPr>
      <t xml:space="preserve">著者名ターゲット：</t>
    </r>
    <r>
      <rPr>
        <sz val="10"/>
        <rFont val="Calibri"/>
        <family val="0"/>
        <charset val="1"/>
      </rPr>
      <t xml:space="preserve">Talfourd</t>
    </r>
    <r>
      <rPr>
        <sz val="10"/>
        <rFont val="Noto Sans CJK SC"/>
        <family val="2"/>
      </rPr>
      <t xml:space="preserve">の交友として作家</t>
    </r>
    <r>
      <rPr>
        <sz val="10"/>
        <rFont val="Calibri"/>
        <family val="0"/>
        <charset val="1"/>
      </rPr>
      <t xml:space="preserve">Charles Lamb</t>
    </r>
    <r>
      <rPr>
        <sz val="10"/>
        <rFont val="Noto Sans CJK SC"/>
        <family val="2"/>
      </rPr>
      <t xml:space="preserve">の名が挙がるのみ（作品言及なし）</t>
    </r>
  </si>
  <si>
    <t xml:space="preserve">OABASEV1_d267dffd6935aeea</t>
  </si>
  <si>
    <t xml:space="preserve">W4232039109</t>
  </si>
  <si>
    <t xml:space="preserve">Stenting of a Venous Stenosis in Vein of Galen Aneurysmal Malformation</t>
  </si>
  <si>
    <t xml:space="preserve">SUMMARY: The vein of Galen aneurysmal malformation (VGAM) is a high flow arteriovenous shunt at the choroidal level. In the neonatal period, it typically presents with cardiac failure. Venous stenoses, occlusions and anomalies are often present. In the absence of adequate venous outflow pathways, severe, irreversible cerebral parenchymal damage may occur due to intracranial venous hypertension, altered hydrodynamics and ischaemia. We present a case of deployment of a stent across a focal superior jugular bulb stenosis in an effort to avert this outcome.</t>
  </si>
  <si>
    <t xml:space="preserve">2001-09-01</t>
  </si>
  <si>
    <t xml:space="preserve">https://doi.org/10.1177/159101990100700309</t>
  </si>
  <si>
    <r>
      <rPr>
        <sz val="10"/>
        <rFont val="Calibri"/>
        <family val="0"/>
        <charset val="1"/>
      </rPr>
      <t xml:space="preserve">"Vein of Galen aneurysmal malformation"</t>
    </r>
    <r>
      <rPr>
        <sz val="10"/>
        <rFont val="Noto Sans CJK SC"/>
        <family val="2"/>
      </rPr>
      <t xml:space="preserve">（解剖学上の名祖）</t>
    </r>
  </si>
  <si>
    <t xml:space="preserve">OABASEV1_3d5af96be24b1fc9</t>
  </si>
  <si>
    <t xml:space="preserve">W1844779822</t>
  </si>
  <si>
    <t xml:space="preserve">Tributes or Travesties?: Recent Reworkings of Classics Great and Small</t>
  </si>
  <si>
    <t xml:space="preserve">What Is a ‘Classic’? The classic is memorably defined by Matthew Arnold when he refuses to define it (Arnold: 1446). For him it is the timeless universal against which all else may be measured. But as T.S. Eliot goes on to point out in ‘What is a Classic?’, a classic assumes its value as it rises in some combination of historical and cultural moments that leave it perched ark-like on a summit of achievement from which the waters of that literary tradition have receded: Virgil at the close of the Roman Empire. However, if such a work is not to moulder away, admired but untouchable in the museum of Great Works, it must be part of an ongoing culture and must be revisited, emulated, reshaped, changed, challenged. Whether we think of Harold Bloom's ‘influence’ or Edward Said's ‘iteration’, the universal timeless classic or the great literary career is only good in so far as it is also made local and part of cultural practice in history (Said: 256-257). Constant Rehearsal of Hindu Classics in the Indian Tradition Indian tradition shows this in its constant rehearsal of the Hindu classics in the literary retranslations across millennia, in folk dramas, song, painting, sculpture, film and television serials. Indian writing in English sought to authenticate itself within the post-colonial nation by reworking the traditional archive, from Toru Dutt's poems to Raja Rao's fictionalising of Puranic style and content. As it grew in self-confidence, it became less subservient to this material, putting it to use in order to make points about modern society and even showing some irreverence towards it. Thus we find Arundhati Roy in The God of Small Things both critiquing the masculinist vengeance of Mahabharata stories in contemporary Kathakali and lamenting their reduction to touristic entertainments (Roy 1997: 228-236), and Shashi Tharoor satirising the political history of modern India by parodying a wide swathe of the Mahabharata in The Great Indian Novel . Salman Rushdie likewise pays tribute to Persian Sufism in Grimus and to the Kathasaritsagara in Haroun and the Sea of Stories , the latter an allegorical critique of dictatorships in the contemporary world.</t>
  </si>
  <si>
    <t xml:space="preserve">2013-10-15</t>
  </si>
  <si>
    <t xml:space="preserve">https://doi.org/10.1017/9789048518852.007</t>
  </si>
  <si>
    <r>
      <rPr>
        <sz val="10"/>
        <rFont val="Noto Sans CJK SC"/>
        <family val="2"/>
      </rPr>
      <t xml:space="preserve">著者名ターゲット：</t>
    </r>
    <r>
      <rPr>
        <sz val="10"/>
        <rFont val="Calibri"/>
        <family val="0"/>
        <charset val="1"/>
      </rPr>
      <t xml:space="preserve">Arnold</t>
    </r>
    <r>
      <rPr>
        <sz val="10"/>
        <rFont val="Noto Sans CJK SC"/>
        <family val="2"/>
      </rPr>
      <t xml:space="preserve">の</t>
    </r>
    <r>
      <rPr>
        <sz val="10"/>
        <rFont val="Calibri"/>
        <family val="0"/>
        <charset val="1"/>
      </rPr>
      <t xml:space="preserve">classic</t>
    </r>
    <r>
      <rPr>
        <sz val="10"/>
        <rFont val="Noto Sans CJK SC"/>
        <family val="2"/>
      </rPr>
      <t xml:space="preserve">論を引用（</t>
    </r>
    <r>
      <rPr>
        <sz val="10"/>
        <rFont val="Calibri"/>
        <family val="0"/>
        <charset val="1"/>
      </rPr>
      <t xml:space="preserve">Arnold: 1446</t>
    </r>
    <r>
      <rPr>
        <sz val="10"/>
        <rFont val="Noto Sans CJK SC"/>
        <family val="2"/>
      </rPr>
      <t xml:space="preserve">）</t>
    </r>
  </si>
  <si>
    <t xml:space="preserve">OABASEV1_351b51550a936ec9</t>
  </si>
  <si>
    <t xml:space="preserve">W1539283211</t>
  </si>
  <si>
    <t xml:space="preserve">Maria Edgeworth</t>
  </si>
  <si>
    <t xml:space="preserve">Novel spectators</t>
  </si>
  <si>
    <t xml:space="preserve">Tom Jones is a typical eighteenth-century hero: he is beaten, bullied, seduced, betrayed, and banished by numerous other characters in the narrative. He performs very little action himself, and that rather unsuccessfully. In one escapade in Book XIII, the hero overwhelmed by London society and ignored by his hosts, Fielding writes that “Poor Jones was rather a Spectator of this elegant scene, than an actor in it” (Tom Jones 451). Tom Jones is a bystander in his own story. The same might be said of protagonists like Samuel Richardson’s Clarissa Harlowe and Maria Edgeworth’s Belinda Portman—protagonists who, like Tom Jones, tend to observe more than participate in their own narratives. Belinda is remembered most for having a dry personality, while Clarissa famously spends hundreds of pages willing herself to die. For modern readers, these characters may seem to lack agency. Despite their apparent passivity, however, these characters reveal the powerful agency of spectatorship in eighteenth-century culture. The spectator figure played a newly dominant role in both the English theater and English society at large across the eighteenth century. Many writers used theatrical imagery to justify spectatorship as more than passive observation. Analyzing depictions of spectatorship in the works of authors ranging from eighteenth-century periodical writers like Joseph Addison and Richard Steele to aesthetic theorists like Adam Smith, and from artists like William Hogarth to romantic playwrights like Joanna Baillie, I show how spectatorship offered a potent form of moral authority more rooted in judgment than action. Moreover, I argue that engaged spectatorship offered an important theatrical model for protagonists in the eighteenth-century novel.</t>
  </si>
  <si>
    <t xml:space="preserve">2011-05-01</t>
  </si>
  <si>
    <t xml:space="preserve">https://doi.org/10.17077/etd.39v1bj0q</t>
  </si>
  <si>
    <r>
      <rPr>
        <sz val="10"/>
        <rFont val="Noto Sans CJK SC"/>
        <family val="2"/>
      </rPr>
      <t xml:space="preserve">著者名ターゲット：</t>
    </r>
    <r>
      <rPr>
        <sz val="10"/>
        <rFont val="Calibri"/>
        <family val="0"/>
        <charset val="1"/>
      </rPr>
      <t xml:space="preserve">Belinda </t>
    </r>
    <r>
      <rPr>
        <sz val="10"/>
        <rFont val="Noto Sans CJK SC"/>
        <family val="2"/>
      </rPr>
      <t xml:space="preserve">を扱う</t>
    </r>
  </si>
  <si>
    <t xml:space="preserve">OABASEV1_a97cd4e663eb3737</t>
  </si>
  <si>
    <t xml:space="preserve">W000031690</t>
  </si>
  <si>
    <t xml:space="preserve">W387835447</t>
  </si>
  <si>
    <t xml:space="preserve">Wilde's comedies of Society</t>
  </si>
  <si>
    <t xml:space="preserve">Wilde's three Society comedies were produced by different managers: Lady Windermere's Fan by George Alexander at the St James's Theatre (20 February 1892), A Woman of No Importance by Herbert Beerbohm Tree (19 April 1893) and An Ideal Husband (3 January 1895) by Lewis Waller, both at the Theatre Royal, Haymarket. Had Henry James's Guy Domville not been a failure and left Alexander with a gap in his season, Wilde would have added Charles Wyndham and the Criterion Theatre to his list with The Importance of Being Earnest. In the months before his career collapsed in the witness box of the Queensberry libel trial, he was sketching out a new play of modern life for Alexander, the Gerald Lancing scenario which Frank Harris later fleshed out as Mr and Mrs Daventry; and negotiating with American producers such as Albert Palmer about a play ' “with no real serious interest” - just a comedy', and with Charles Frohman for a 'modern “School for Scandal”' style of play. This flurry of activity indicates both Wilde's perceived marketability on both sides of the Atlantic and his own growing confidence in a genre he had only taken up in 1891, in fact at Alexander's invitation. 'I wonder can I do it in a week, or will it take three?' he reportedly commented to Frank Harris. 'It ought not to take long to beat the Pineros and the Joneses.' Writing to Alexander in February 1891, Wilde offered a rather different attitude towards his progress on Lady Windermere's Fan : 'I am not satisfied with myself or my work. I can't get a grip of the play yet: I can't get my people real... I am very sorry, but artistic work can't be done unless one is in the mood; certainly my work can't. Sometimes I spend months over a thing, and don't do any good; at other times I write a thing in a fortnight' ( L 282).</t>
  </si>
  <si>
    <t xml:space="preserve">1997.0</t>
  </si>
  <si>
    <t xml:space="preserve">1997-10-16</t>
  </si>
  <si>
    <t xml:space="preserve">https://doi.org/10.1017/ccol052147471x.010</t>
  </si>
  <si>
    <r>
      <rPr>
        <sz val="10"/>
        <rFont val="Noto Sans CJK SC"/>
        <family val="2"/>
      </rPr>
      <t xml:space="preserve">著者名ターゲット：</t>
    </r>
    <r>
      <rPr>
        <sz val="10"/>
        <rFont val="Calibri"/>
        <family val="0"/>
        <charset val="1"/>
      </rPr>
      <t xml:space="preserve">Guy Domville </t>
    </r>
    <r>
      <rPr>
        <sz val="10"/>
        <rFont val="Noto Sans CJK SC"/>
        <family val="2"/>
      </rPr>
      <t xml:space="preserve">への言及</t>
    </r>
  </si>
  <si>
    <t xml:space="preserve">OABASEV1_8b0fe3b5f803e6e7</t>
  </si>
  <si>
    <t xml:space="preserve">W2972130145</t>
  </si>
  <si>
    <t xml:space="preserve">Steinbeck</t>
  </si>
  <si>
    <t xml:space="preserve">John Steinbeck</t>
  </si>
  <si>
    <t xml:space="preserve">Of Mice and Men: The Tale of Steroidogenic Factor-1</t>
  </si>
  <si>
    <t xml:space="preserve">In John Steinbeck’s famous novel, George and Lennie dream of a simple bucolic life, living on a ranch in southern California (1). However, as foreshadowed by the poem on which the title is based, their best-laid plans go awry. In medicine, we harbor similarly simplistic views of the world, if for no other reason than to bring order to complex physiological events or to provide a framework for testing ideas. More often than not, these models are incomplete, if not altogether wrong. Nonetheless, this hypothesis-driven approach is the foundation of our scientific method. In this editorial, I will highlight the interplay between genetic models in mice and our understanding of inherited reproductive disorders in man, focusing on recent findings involving steroidogenic factor-1 (SF-1). Increasingly, mouse models help to unravel complex physiological pathways, including the regulation of reproduction (2). Genetic studies in humans historically have been based on testing candidate genes or performing linkage studies, which are rarely applicable when reproduction is compromised. Mice provide an opportunity for performing targeted mutagenesis, including knockout and knock-in approaches, as well as transgenic expression of genes (3). More recently, ethylnitrosourea and transgenic insertional mutagenesis enable “forward genetic” approaches that use phenotypic screens to identify novel genes (4). Although we often focus on the differences in mouse and human phenotypes caused by mutations in homologous genes, it is notable that different inbred strains of mice also differ considerably in the phenotypic expression of traits; this feature potentially allows the identification of modifier genes in mice of different genetic backgrounds (5). A few examples in the field of reproduction illustrate the conceptual advantages conferred by parallel studies in humans and in mice. This year, a report described hypogonadotropic hypogonadism caused by mutations in GPR54, a G protein-coupled seven-transmembrane receptor proposed to regulate puberty and gonadotropin production (6). Linkage studies and mutational analyses in humans were accompanied by characterization of a GPR54 knockout mouse, providing independent lines of evidence that this receptor plays a key role in reactivation of the GnRH pulse generator (6, 7). The DAX1 (dosage-sensitive sex reversal-adrenal hypoplasia congenita critical region on the X chromosome, gene 1) gene was identified in humans with X-linked adrenal hypoplasia congenita and hypogonadotropic hypogonadism. A Dax1 knockout model in mice revealed a primary testicular defect that had been unrecognized in humans because of concomitant gonadotropin deficiency (8, 9). A series of recent reports on SF-1 mutations in humans reveal a surprisingly broad spectrum of phenotypic features (10–15) and underscore the dose-dependent action of SF-1. What were the critical steps that brought us to this level of understanding? SF-1 (also known as adrenal 4-binding protein, Ad4BP) was originally identified as a transcription factor that binds to DNA regulatory elements in the proximal promoter regions of steroidogenic enzyme genes (16). In fact, SF-1 is considered a master regulator of reproduction, because its targets include genes at every level of the hypothalamic-pituitary-gonadal axis, as well as most genes involved in gonadal and adrenal steroidogenesis. The cloning of bovine and mouse genes encoding Sf-1 revealed that it resembled the Drosophila orphan nuclear receptor, fushi tarazu factor-1 (Ftz), a gene involved in segmentation. The human SF-1 gene (officially designated NR5A1) encodes a 461-amino-acid protein that shares structural similarities with members of the nuclear receptor superfamily. Like other nuclear receptors, SF-1 binds to specific DNA sequences in target genes and regulates transcription. Specifically, it binds to DNA as a monomer and recognizes variations of the DNA sequence motif, T/CCA AGGTCA (17). In most cases, SF-1 functions cooperatively with other transcription factors to modulate the timing and level of gene expression. It is this cooperative interaction with other factors that allows it to regulate so many target genes, which differ widely in their expression patterns and regulation. Critical structural regions in SF-1 include a zinc finger DNA binding domain, an “A” box (or FTZF1 box) accessory DNA-binding domain, a hinge region, and an activation function-2 domain involved in transcriptional control. Unlike many classical nuclear receptors, such as the estrogen, glucocorticoid, or thyroid hormone receptors, there is no known ligand that regulates SF-1-mediated transcription. Consequently, it is classified as an orphan nuclear receptor to recognize the possibility that a ligand may yet be discovered. It is possible, however, that SF-1 is regulated independently of a specific ligand; its pattern and level of expression, interaction with other transcription factors, or posttranslational modifications represent plausible means to control its action (18). In the absence of a known ligand, how does one determine its physiological role? A first step is to characterize when and where SF-1 is expressed, potentially predicting possible functions. In the mouse, Sf-1 is first expressed in the urogenital ridge at embryonic d 9 (e9) (19). After gonadal determination (e13), Sf-1 is expressed in a population of rapidly proliferating cells in the developing testis (20). In Sertoli cells, Sf-1 regulates Müllerian inhibiting substance expression, leading to regression of Müllerian structures in males. In Leydig cells, Sf-1 regulates the steroidogenic enzyme genes that control testosterone biosynthesis. Sf-1 also plays an important role in the normal development and function of the hypothalamic-pituitary-gonadal axis. It is expressed in the ventral medial hypothalamus (VMH) and in pituitary gonadotropes. Thus, Sf-1 regulates an enormous number of genes involved in sex determination and differentiation, reproduction, and steroidogenesis (16). The physiological role of Sf-1 was clearly established by generating knockout mice (21), which were found to have adrenal and gonadal agenesis. The XY mice exhibit male-to-female sex reversal, including persistent Müllerian structures, reflecting the absence of fetal androgens and Müllerian inhibiting substance. The knockout mice also have decreased levels of gonadotropins and a near absence of the VMH. Gonadotrope function could be restored by GnRH treatment, suggesting that Sf-1 deficiency does not result in an complete loss of gonadotrope cell function. These striking phenotypic features in Sf-1-deficient mice generated considerable interest because they demonstrated that orphan nuclear receptors might play important developmental roles. Targeted mutagenesis of Sf1 has now been performed in the VMH, gonadotropes, and Leydig cells, confirming its intrinsic function in these tissues (22). The mouse Sf-1 knockout phenotype prompted studies of humans with combined adrenal and gonadal defects for possible mutations in SF-1 (10). There are now five reported human SF-1 mutations, including two reports in recent issues of The Journal of Clinical Endocrinology &amp; Metabolism (14, 15). Each new case provides important insight into the physiological role of SF-1 and clarifies the phenotypic spectrum associated with SF-1 mutations (see Table 2 in Ref.14). The first human SF-1 mutation (G35E) was described in a patient with primary adrenal failure, XY sex reversal and persistent Müllerian structures (10), thereby exhibiting features very similar to the knockout mouse. Unexpectedly, however, DNA sequencing revealed a heterozygous mutation in the DNA binding domain. Thus, in humans, a heterozygous mutation in SF-1 appeared to cause the same phenotypic consequences as complete deficiency of Sf-1 in the mouse. These clinical effects were thought to primarily result from a loss-of-function effect, although it is difficult to exclude the possibility that the mutant protein exerts some degree of dominant negative activity, inhibiting the function of SF-1 expressed from the normal allele (23). The concept of dose-dependent action of SF-1 was reinforced by the second reported case, also an XY female with adrenal insufficiency. This patient was homozygous for an SF-1 mutation (R92Q) that only partially impaired DNA binding (11). Of note, three heterozygous relatives (both parents and a sibling) were clinically normal, with no evidence of adrenal insufficiency or reproductive dysfunction. Thus, this milder SF-1 mutation did not cause phenotypic effects unless transmitted on both alleles. Two recently reported cases describe patients with heterozygous SF-1 mutations that generate null alleles since almost all of the protein is missing (14, 15). Both of these XY individuals have testicular dysgenesis but normal adrenal function. Similarly, an XY patient with a heterozygous mutation reported to exert dominant negative activity, had testicular regression but normal adrenal function (13). These patients differ in the extent of virilization and regression of Müllerian structures, suggesting variability in Leydig and Sertoli cell function. Thus, in humans, the testis may be more sensitive to loss of SF-1 function than the adrenal gland, or the adrenal gland may have a greater capacity to undergo compensatory growth and function. Of note, these gland-specific sensitivities are different in heterozygous Sf-1 knockout mice; testis development is relatively normal but the mice have adrenal hypoplasia and blunted stress-induced cortisol responses (24, 25). Only one SF-1 mutation has been reported in a prepubertal XX individual who presented with adrenal insufficiency (12). Although there was evidence that ovarian tissue was present, the consequences of the SF-1 mutation on adult ovarian function are currently unknown. When confronted with patients who have adrenal insufficiency and gonadal dysfunction, the differential diagnosis has become surprising broad. Hypopituitarism can usually be excluded based on routine hormone testing. Mutations in STAR (steroidogenic acute regulatory protein) are recessive and cause lipoid adrenal hyperplasia (26). XY subjects have adrenal insufficiency and Leydig cell failure because of defective cholesterol transport and toxic accumulation of lipid precursors, resulting in undervirilized or female genitalia. XX individuals have adrenal dysfunction and impaired ovarian function but relatively normal feminization because ovarian steroid synthesis is preserved initially and the accumulation of steroid precursors is reduced because follicle development is critical (26). The phenotype of patients with STAR mutations is similar to those with mutations in CYP11A1 (side-chain cleavage enzyme), which cause a block in the synthesis of all downstream steroids (27). Mutations in DAX-1 cause X-linked adrenal hypoplasia congenita, which is characterized by adrenal insufficiency, hypogonadotropic hypogonadism, and testicular dysgenesis (9). As noted above, mutations in SF-1 cause a phenotypic spectrum that can include variable degrees of adrenal insufficiency and testicular dysgenesis. The recent observation that some patients with SF-1 mutations have testicular dysgenesis without adrenal insufficiency raises the issue of which genetic abnormalities should be considered in XY patients with gonadal dysgenesis. Some of this population will have Klinefelter’s syndrome (XXY and variants); others may have XO/XY mosaicism. In principle, many genes involved in testis determination and differentiation are candidates for causing XY testicular dysgenesis (28). Mutations in sex-determining region on the Y chromosome preempt testis development but only account for about 10–15% of cases of XY sex reversal (29). Mutations in Wilm’s tumor-1 or Sry-related high mobility group box cause gonadal dysgenesis but are also associated with renal or skeletal abnormalities, respectively. Duplications of WNT4 (wingless-type mouse mammary tumor virus integration site family, member 4), or DAX1 can cause testis dysgenesis. Genes involved in Leydig cell development [DHH (Desert Hedgehog), ARX (Aristaless-related homeobox, X-linked), LHCGR (LH receptor)], or androgen synthesis (STAR, CYP11A1, CYP17, HSD3B2, SRD5A2) prevent normal virilization and can be associated with or mimic testicular dysgenesis. Likewise, defects in androgen action, via the androgen receptor, cause a wide range of undervirilization because of androgen insensitivity. It is useful to distinguish the clinical features of Sertoli cell and Leydig cell dysfunction. If Müllerian regression has occurred, Sertoli cell differentiation and function must have been relatively normal, at least during fetal development. On the other hand, the extent of virilization reflects Leydig cell differentiation, androgen synthesis, and action. In summary, there has been considerable progress in the identification of genetic mutations associated with XY gonadal dysgenesis. Increasingly, these candidates are identified based on phenotypes observed in knockout mice. The important role of gene dosage is a recurring observation for pathways that regulate gonadal development. This feature is dramatically illustrated by mutations in SF-1, which cause a spectrum of phenotypes associated with graded loss of SF-1 function. It is likely that these phenotypes are also influenced by genetic background or modifier genes. This concept can be explored further by identifying additional patients with SF-1 mutations and by examining the effects of Sf-1 mutations in mice of different genetic backgrounds. In practical terms, these recent reports indicate that mutations in SF-1 should be considered in patients with XY gonadal dysgenesis, whether or not there is evidence of adrenal insufficiency (14, 15). This work was supported by National Institutes of Health Grants HD044801 and HD043425. Dosage-sensitive sex reversal-adrenal hypoplasia congenita critical region on the X chromosome,gene 1; steroidogenic factor-1; steroidogenic acute regulatory protein; ventral medial hypothalamus.</t>
  </si>
  <si>
    <t xml:space="preserve">2004-12-01</t>
  </si>
  <si>
    <t xml:space="preserve">https://doi.org/10.1210/jc.2004-2047</t>
  </si>
  <si>
    <r>
      <rPr>
        <sz val="10"/>
        <rFont val="Noto Sans CJK SC"/>
        <family val="2"/>
      </rPr>
      <t xml:space="preserve">著者名ターゲット：</t>
    </r>
    <r>
      <rPr>
        <sz val="10"/>
        <rFont val="Calibri"/>
        <family val="0"/>
        <charset val="1"/>
      </rPr>
      <t xml:space="preserve">Of Mice and Men</t>
    </r>
    <r>
      <rPr>
        <sz val="10"/>
        <rFont val="Noto Sans CJK SC"/>
        <family val="2"/>
      </rPr>
      <t xml:space="preserve">（</t>
    </r>
    <r>
      <rPr>
        <sz val="10"/>
        <rFont val="Calibri"/>
        <family val="0"/>
        <charset val="1"/>
      </rPr>
      <t xml:space="preserve">Steinbeck</t>
    </r>
    <r>
      <rPr>
        <sz val="10"/>
        <rFont val="Noto Sans CJK SC"/>
        <family val="2"/>
      </rPr>
      <t xml:space="preserve">）への言及</t>
    </r>
  </si>
  <si>
    <t xml:space="preserve">OABASEV1_8a27c7bfc7329386</t>
  </si>
  <si>
    <t xml:space="preserve">W000011932</t>
  </si>
  <si>
    <t xml:space="preserve">W1975207593</t>
  </si>
  <si>
    <t xml:space="preserve">The house of mirth</t>
  </si>
  <si>
    <t xml:space="preserve">Edith Wharton</t>
  </si>
  <si>
    <t xml:space="preserve">A Son at the Front; American Writers and World War I</t>
  </si>
  <si>
    <t xml:space="preserve">Wharton scholars will warmly welcome this attractive new edition of Wharton’s war novel in the centenary year of its original publication. Oxford World’s Classics has been producing excellent and affordable editions of novels with informative notes and introductory essays for over one hundred years. However, this is the first time since 2015 that there has been a new addition to their offerings of Wharton’s novels. It is, therefore, of some considerable import that A Son at the Front has been added to The House of Mirth, Ethan Frome, The Custom of the Country, The Age of Innocence, and Summer. In contrast to these other well-known novels, A Son at the Front has not received anywhere near the same attention and acclaim. It was only in 2015, during the centenary commemorations of the First World War, that the Library of America added it to its Wharton portfolio, with notes by Hermione Lee, in a volume containing four of Wharton’s novels published in the 1920s.Julie Olin-Ammentorp has long championed Wharton’s war fiction and her 2004 publication, Edith Wharton’s Writings from the Great War, made a significant contribution to Wharton scholarship. Citations alone testify to its authoritative status. A Son at the Front was for many decades overlooked by literary scholars with the tenacious canonization of texts that subscribed to what Samuel Hynes characterized as the “Myth of War” approach. The broadening of the canon of war writing has gone hand-in-hand with attempts to widen perspectives and to recognize the diversity of experiences and circumstances. In addition, there have been concerted efforts by the European Union and other countries to support Ukrainian culture and its artists. What this tells us is that Wharton’s novel transcends its immediate context and speaks to prominent elements in the representation of war and its impact on life. It contributes to discussions about how to represent conflict, polarization, and propaganda. As such, Wharton’s novel should not only be seen in the context of World War I writings but also in the general context of the war novel.The annotations to this edition of A Son at the Front are more fulsome than the Library of America edition. Inevitably publishers must consider word count, but there is another issue here that is worth raising. Some annotations lend themselves more easily to a so-called factual accounting. Some of those annotations are particularly pertinent with regard to the increasingly distant nature of the novel’s setting and the current time of the reader. However, Wharton’s allusions to a work of art or literature, at the very least, can never be taken at face value. She routinely played with her broad swath of allusions to western cultural traditions and these stretch right across her entire oeuvre. Much of this has to do with her sense of continuity and tradition, and with locating her work within a far larger context. She straddled the need to sell books and her aspiration to be a serious writer of fiction whose work would stand the test of time. The contemporary reviews of A Son at the Front demonstrate only too clearly how reviewers were caught up in the moment and failed to appreciate the mind at work in searching for a way to represent wartime experiences. Readers should therefore not stop at an annotation that provides them with sources and information. Take, for example, how Wharton slips in a reference to Milton’s poem, “Lycidas,” with the phrase “the tangles of Neara’s hair” or her comparison of the coils of a telephone to the serpents coiled around Laocoön. There is so much to be gained from following these up and realizing the intricate playfulness of Wharton’s allusions and how this can influence the interpretation of her novels. Some of her ironic tone can be entirely missed without an appreciation of what she alludes to and how she does so.Olin-Ammentorp’s introductory essay provides a comprehensive survey of the writing and reviews of A Son at the Front, as well as its place in Wharton’s overall oeuvre and in World War I novels. The section on “Seeing Paris” draws attention to how the war is refracted through the eyes of an American expatriate and portrait artist, John Campton. As Olin-Ammentorp points out, he is a difficult protagonist for readers to identify with. This is a gamble on Wharton’s part, given what she wrote in “The Vice of Reading” about the proclivities of the “mechanical reader,” but it also negates any sentimentality. Wharton’s choice, therefore, of this protagonist as her “reflecting mind” enabled her to provide a satirical depiction of the superficiality of some American expatriates’ war efforts. While her representation fits in with her earlier critiques of society figures and their motivations for their display of wealth and philanthropy, there was little in this novel to offer them solace regarding the role of individuals in the “strange war-world of the rear,” let alone the US government prior to the declaration of war. On the other hand, it offered an opportunity for introspection about international outreach and the role of the United States in global affairs, having been published at a time when isolationist rhetoric began to crescendo.There is a further aspect to consider with regard to how Campton sees Paris in wartime. This has to do with Walt Whitman’s descriptions of Washington, DC, at the time of the Civil War. We are alerted to the connection between these and what Wharton portrays in her novel with the prominent positioning of the epigraph, drawn from Whitman’s Specimen Days. There are numerous allusions to Whitman in Wharton’s work and it is worth going beyond the obvious connection in this instance—namely, the way in which Wharton picks up on Whitman’s observations of combatants and the way in which “they are different from the rest . . . ‘something odd about them’” and their tendency to “go off and meditate and muse in solitude” (48). Consider, for example, how Whitman describes Washington, DC, in the moonlight or gaslight and Campton’s “painter’s vision” of the illuminations in the Place de la Concorde and how the light lies on the city in “wide silvery washes” (130). Is there not a possibility that Wharton is prompting the reader to compare Whitman and Campton and their response to the devasting wars in their lifetime? On one hand, there is the two artists’ similar response to light and shape and forms, and on the other, there is a stark contrast between Whitman and Campton. The poet fully embraced the need to visit wounded and dying soldiers in various army hospitals, whereas Campton recoils from hospital visits unless they are to see his son. The contrast underscores Campton’s misanthropic and selfish disposition. If, as Campton insists at the beginning, this is not his son’s war to fight, then it is not America’s war to fight. But Campton undergoes a transformation and stands in for the change in position that Woodrow Wilson’s administration undertook to shift from neutrality to engagement. This pivot was crucial to the increase in the Allies’ military advantage and to the fractious debate within the United States thereafter about the nation’s global role. As such, this makes Wharton’s novel of particular interest to both the history and the ongoing debate of US involvement overseas.There are many reasons to take a new look at Wharton’s novel and to reappraise it. Julie Olin-Ammentorp’s work and her achievement in getting Oxford University Press to publish a scholarly edition of Wharton’s 1923 novel should inspire new efforts. David A. Rennie’s American Writers and World War I provides an overview of a select number of authors who published fiction featuring the Great War. He devotes a chapter to Wharton, to Ellen La Motte together with Mary Borden, to Thomas Boyd, to F. Scott Fitzgerald, to Laurence Stallings, and to Ernest Hemingway. This selection, Rennie argues, is “representative of the diverse influences of World War I on American authors,” who also dealt with the war in several other genres that have garnered less critical attention. He provides a good amount of context for each author and compares them in terms of their relationship to the war, of their writing careers, and of their experience of the publishing industry. Unlike other recent volumes covering a variety of American authors who produced war fiction in the early twentieth century, Rennie probes well beyond the immediate time of the writing and publication of war novels with which the authors are most associated. This provides an opportunity to see their war-related fiction in terms of their overall oeuvre and, more pointedly, to examine how their perspectives on the war may have evolved from 1918 onwards. Wharton scholars will find of particular interest the juxtaposition of Wharton with these other authors, including those long regarded as part of the Lost Generation, and how this enables readers to contextualize her complex and sometimes contradictory responses to the war. Rennie rigorously resists any simplistic and static categorization of individual authors’ reactions, hence the title of his introductory chapter: “The Hell with All the Dirty, Easy Labels”, a quote from F. Scott Fitzgerald. Drawing upon the work of scholars such as Hazel Hutchison and Steven Trout, Rennie draws attention to the struggles that novelists had with making sense of the war, the sacrifice of millions of lives, and the destruction of the built environment and countryside. This volume is firmly located among the work of those who have sought to broaden the field beyond the canonical texts that were predominant in the literary curriculum and anthologies up until thirty or so years ago.Much of Rennie’s coverage is dependent on existing scholarship on individual authors and does not necessarily cover new ground. Wharton scholars, therefore, will not find much in the chapter on Wharton that has not already been covered by Alan Price and Julie Olin-Ammentorp. Rennie’s coverage does not go into great depth and the analysis of Wharton’s war writings is brief. To be fair, the focus is on contexts rather than texts. He emphasizes her Francophilia to the exclusion of her wider knowledge and use of the western literary tradition, particularly with regard to the literary representation of war. Curiously, he omits her use of Whitman in her epigraph for the novel, while pointing to Borden taking inspiration from Whitman’s “A Song of Myself.” The Book of the Homeless is given a section, but there is no analysis of its content or links to her work with refugees or the depiction of “murdered houses” in Fighting France. In Morocco is absent and there is a missed opportunity here to draw a comparison with La Motte. With regard to the latter, Rennie provides a valuable insight into the relationship of the text she wrote during the war following a year’s tour of Southeast Asia criticizing European colonialism with her Backwash of the War and its questioning of the extolling of fighting for liberty, justice, and civilization.As an introduction to American writers and the First World War, Rennie’s book provides a useful overview of seven authors with different experiences of the war and at different stages in their careers, united by their multifaceted and evolving responses to the conflagration. It will enable readers to have a broader appreciation of that part of the American literary community which was, like Wharton, intensely engaged with the war and its impact, and, more importantly, it will encourage readers to make further comparisons.</t>
  </si>
  <si>
    <t xml:space="preserve">2023-05-01</t>
  </si>
  <si>
    <t xml:space="preserve">https://doi.org/10.5325/editwharrevi.39.1.0078</t>
  </si>
  <si>
    <r>
      <rPr>
        <sz val="10"/>
        <rFont val="Calibri"/>
        <family val="0"/>
        <charset val="1"/>
      </rPr>
      <t xml:space="preserve">OUP</t>
    </r>
    <r>
      <rPr>
        <sz val="10"/>
        <rFont val="Noto Sans CJK SC"/>
        <family val="2"/>
      </rPr>
      <t xml:space="preserve">既刊リスト中での簡潔な言及</t>
    </r>
  </si>
  <si>
    <t xml:space="preserve">OABASEV1_2c9d8b89650a9b04</t>
  </si>
  <si>
    <t xml:space="preserve">W000031971</t>
  </si>
  <si>
    <t xml:space="preserve">W4389080899</t>
  </si>
  <si>
    <t xml:space="preserve">Judith– a seduction</t>
  </si>
  <si>
    <t xml:space="preserve">In this second, fully revised edition of his acclaimed study of Barker's work, Charles Lamb sets out to make emotional sense of the characters and their interactions. This is a detailed exploration of the 'scene of seduction' - the challenge, the secret, the abject and the catastrophic, processes which dominate Barker's work. For Lamb, the power of Barker's plays is to be found in the exposure to the irrational and its promotion of a state of unknowing. This revised edition includes: * a new interview with Barker;* a revised introduction, * an updated bibliography * a full production chronology. For students of Barker and for actors and directors working with this unique material, Lamb's book is a vital and illuminating text.</t>
  </si>
  <si>
    <t xml:space="preserve">2010.0</t>
  </si>
  <si>
    <t xml:space="preserve">2010-02-16</t>
  </si>
  <si>
    <t xml:space="preserve">https://doi.org/10.4324/9780203324288_chapter_4</t>
  </si>
  <si>
    <r>
      <rPr>
        <sz val="10"/>
        <rFont val="Calibri"/>
        <family val="0"/>
        <charset val="1"/>
      </rPr>
      <t xml:space="preserve">Howard Barker</t>
    </r>
    <r>
      <rPr>
        <sz val="10"/>
        <rFont val="Noto Sans CJK SC"/>
        <family val="2"/>
      </rPr>
      <t xml:space="preserve">研究者の</t>
    </r>
    <r>
      <rPr>
        <sz val="10"/>
        <rFont val="Calibri"/>
        <family val="0"/>
        <charset val="1"/>
      </rPr>
      <t xml:space="preserve">Charles Lamb</t>
    </r>
    <r>
      <rPr>
        <sz val="10"/>
        <rFont val="Noto Sans CJK SC"/>
        <family val="2"/>
      </rPr>
      <t xml:space="preserve">（現代の演劇研究者）。同名異人</t>
    </r>
  </si>
  <si>
    <t xml:space="preserve">OABASEV1_60293e5b089b650c</t>
  </si>
  <si>
    <t xml:space="preserve">W2486734876</t>
  </si>
  <si>
    <t xml:space="preserve">Short stories</t>
  </si>
  <si>
    <t xml:space="preserve">СОДЕРЖАНИЕ НА АНГЛИЙСКОМ ЯЗЫКЕ</t>
  </si>
  <si>
    <t xml:space="preserve">PERM UNIVERSITY HERALD ––––––––––––––––––––––––––––––––––––––––––––––––––––––––––––– 2015 RUSSIAN AND FOREIGN PHILOLOGY Issue 2(30) CONTENTS LANGUAGE, CULTURE, SOCIETY Svetlana S. Shlyakhova SOUND-GRAPHEME-COLOR SYNAESTHESIA OF CONSONANTS IN THE KOMI-PERMYAK LANGUAGE. Article 2. Discussion of the experiment…………………...……5 Irina B. Kachinskaya KINSHIP TERMS IN THE MYTHOLOGICAL DIMENSION (a case study of Arkhangelsk dialects)……………………………………………………………..................16 Svetlana A. Ganicheva SEMANTIC FEATURES OF RUSSIAN DIALECT VERBS DENOTING ANIMAL AND BIRD VOICES (BASED ON «LEXICAL ATLAS OF RUSSIAN FOLK DIALECTS»)…………………………..……..…27 Natalia G. Kutrueva ON THE PERCEPTION OF SOME RUSSIAN HESITATION FILLER WORDS BY SPEAKERS OF OTHER LANGUAGES……………………………………….…...34 Elena A. Brylina, Olga G. Sidorova THE FIRST RUSSIAN GRAMMAR BOOKS OF THE ENGLISH LANGUAGE: CONTENT, PRESENTATION OF GRAMMAR MATERIAL, METHODS………………………………………………………………….44 Svetlana L. Mishlanova, Tatyana S. Katlishina CONSTRUCTION OF THE MEANING OF THE WORD “STRUGGLE” IN ENGLISH……………………………………………………………...53 Marina O. Kunshchikova MODELS OF WORDPLAY FORMATION IN THE CONTEXT OF CLASSROOM BILINGUALISM……………………………………………..62 Ning Wan ADVERTISING TEXT IN TERMS OF CULTURE AND INTERCULTURAL COMMUNICATION………………………………………………...………….69 Evgeniya P. Bogatikova METAPHORS IN THE CONTEXT OF ONLINE HEALTH COMMUNICATION………………………………………………………….……77 Valery A. Mishlanov, Vladimir A. Salimovsky MODERN CLERICAL AND RELIGIOUS DISCOURSE IN TERMS OF FORENSIC LINGUISTICS ISSUES……………….......84 LITERATURE IN THE CULTURAL CONTEXT Nataliya A. Petrova THE ART OF CUTTING OUT AND SEWING (NOTES ON THE SUBJECT)…….97 Marina V. Tsvetkova IMAGES OF SQUIRES-ANGLOMANIACS th IN RUSSIAN LITERATURE OF THE XIX CENTURY…………………………………………………106 Boris M. Proskurnin THE SUBVERSION OF LINEAR TIME IN ‘SONS AND LOVERS’ BY D.H. LAWRENCE…………………………………….………………….112 Tatyana N. Fominykh THE IMAGERY OF THE LYRIC NOVELLA «THE WAY OF THE PIGEON» BY V. I. STRAZHEV…………………………………………………...120 Svetlana V. Burdina, Olga A. Mokrushina THE TOPOS OF POST-SOVIET SCHOOL IN RUSSIAN SHORT STORIES OF THE TURN OF THE XXI CENTURY………………….................129 4</t>
  </si>
  <si>
    <t xml:space="preserve">1994.0</t>
  </si>
  <si>
    <t xml:space="preserve">1994-12-01</t>
  </si>
  <si>
    <r>
      <rPr>
        <sz val="10"/>
        <rFont val="Noto Sans CJK SC"/>
        <family val="2"/>
      </rPr>
      <t xml:space="preserve">目次中に </t>
    </r>
    <r>
      <rPr>
        <sz val="10"/>
        <rFont val="Calibri"/>
        <family val="0"/>
        <charset val="1"/>
      </rPr>
      <t xml:space="preserve">"Sons and Lovers by D.H. Lawrence"</t>
    </r>
    <r>
      <rPr>
        <sz val="10"/>
        <rFont val="Noto Sans CJK SC"/>
        <family val="2"/>
      </rPr>
      <t xml:space="preserve">（長編）論文あり。ターゲット「</t>
    </r>
    <r>
      <rPr>
        <sz val="10"/>
        <rFont val="Calibri"/>
        <family val="0"/>
        <charset val="1"/>
      </rPr>
      <t xml:space="preserve">Short stories</t>
    </r>
    <r>
      <rPr>
        <sz val="10"/>
        <rFont val="Noto Sans CJK SC"/>
        <family val="2"/>
      </rPr>
      <t xml:space="preserve">」は別の作品群</t>
    </r>
  </si>
  <si>
    <t xml:space="preserve">OABASEV1_5309e15aa02802b9</t>
  </si>
  <si>
    <t xml:space="preserve">W000030610</t>
  </si>
  <si>
    <t xml:space="preserve">W4290239718</t>
  </si>
  <si>
    <t xml:space="preserve">The Lais of Marie de France: Text and Context</t>
  </si>
  <si>
    <t xml:space="preserve">1989.0</t>
  </si>
  <si>
    <t xml:space="preserve">1989-09-01</t>
  </si>
  <si>
    <t xml:space="preserve">https://doi.org/10.2307/3200189</t>
  </si>
  <si>
    <t xml:space="preserve">OABASEV1_c8768eec321143c3</t>
  </si>
  <si>
    <t xml:space="preserve">W1998164323</t>
  </si>
  <si>
    <t xml:space="preserve">Mildred Pierce</t>
  </si>
  <si>
    <t xml:space="preserve">James M. Cain</t>
  </si>
  <si>
    <t xml:space="preserve">James M. Cain wrote some of the grittiest novels in American literature, including such classics as The Postman Always Rings Twice, Double Indemnity, and Mildred Pierce. James M. Cain: Hard-Boiled Mythmaker is a critical overview of the author's life, work, and legacy. An updated and expanded edition of two of David Madden's scholarly works on Cain, this new book improves upon the previous works by collecting the most essential writing on Cain by Madden into one volume. In addition to melding existing material, this work contains updated and new material, including fresh commentaries on later books, such as Rainbow's End, Cloud Nine, and The Enchanted Isle, as well as later film adaptations, including Butterfly. It also responds to 40 years' worth of criticism on Cain and reevaluates his influence. Providing an overview of all of Cain's fiction, including an analysis of the major themes of his entire literary career, the book also describes Cain's impact on and importance in 20th-century culture, film in particular. In addition to a biographical summary and thematic outline of Cain's nearly 50-year career, Madden and Mecholsky examine how Cain's works explore the nightmare consequences of the persistent American dream. Finally, Madden and Mecholsky consider Cain's technical innovations of the novel and survey the major film adaptations of Cain's novels. With its significant in-depth analysis and a foreword by Edgar-award winning author Max Allan Collins, this volume will be of interest to Cain scholars as well as anyone interested in 20th century American literature and film.</t>
  </si>
  <si>
    <t xml:space="preserve">2011-01-01</t>
  </si>
  <si>
    <t xml:space="preserve">https://doi.org/10.5040/9798881819002</t>
  </si>
  <si>
    <t xml:space="preserve">OABASEV1_5df7caab72622112</t>
  </si>
  <si>
    <t xml:space="preserve">W000016816</t>
  </si>
  <si>
    <t xml:space="preserve">W4410667208</t>
  </si>
  <si>
    <t xml:space="preserve">Stories</t>
  </si>
  <si>
    <t xml:space="preserve">Erskine Caldwell</t>
  </si>
  <si>
    <t xml:space="preserve">The Complete Stories of Erskine Caldwell</t>
  </si>
  <si>
    <t xml:space="preserve">1980.0</t>
  </si>
  <si>
    <t xml:space="preserve">1980-06-01</t>
  </si>
  <si>
    <r>
      <rPr>
        <sz val="10"/>
        <rFont val="Calibri"/>
        <family val="0"/>
        <charset val="1"/>
      </rPr>
      <t xml:space="preserve">Complete Stories</t>
    </r>
    <r>
      <rPr>
        <sz val="10"/>
        <rFont val="Noto Sans CJK SC"/>
        <family val="2"/>
      </rPr>
      <t xml:space="preserve">＝</t>
    </r>
    <r>
      <rPr>
        <sz val="10"/>
        <rFont val="Calibri"/>
        <family val="0"/>
        <charset val="1"/>
      </rPr>
      <t xml:space="preserve">Stories</t>
    </r>
  </si>
  <si>
    <t xml:space="preserve">OABASEV1_d38b9725a89fe475</t>
  </si>
  <si>
    <t xml:space="preserve">W000001554</t>
  </si>
  <si>
    <t xml:space="preserve">W1582846553</t>
  </si>
  <si>
    <t xml:space="preserve">Poe in the Marketplace: Making Sense of Reprinting Jonathan H. Hartmann. The Marketing of Edgar Allan Poe. In Studies in American Popular History and Culture, ed. Jerome Nadelhaft</t>
  </si>
  <si>
    <t xml:space="preserve">https://doi.org/10.1111/j.1754-6095.2011.00042.x</t>
  </si>
  <si>
    <t xml:space="preserve">OABASEV1_c5b045768f6aa4a8</t>
  </si>
  <si>
    <t xml:space="preserve">W1531429259</t>
  </si>
  <si>
    <t xml:space="preserve">The Waves</t>
  </si>
  <si>
    <t xml:space="preserve">The Mythological Element in Virginia Woolf's The Waves: Bernard's Vision</t>
  </si>
  <si>
    <t xml:space="preserve">Readers A n d Critics of Virginia Woolf seldom, if ever, discuss the religious dimension in her writings.W oolfs atheism (or "agnosti cism") perhaps prevents her readers from perceiving the religious attitude in her work.While it is true that Woolf admits her distrust of organized religious answers, it is also true that she expresses a deeply mythic or religious (I use the words interchangeably) view of life in her art.Of all Woolfs novels, The Waves comes closest to expressing a mythic vision of life.H er interest in the androgynous artist; her attention to "moments of being"; her passion for finding a true self in the flux of time; her use of symbols to express a complex, spiritual vision: these elements in her writing combine to create a mythic vision.The characters, though they are historically bound, achieve symbolic universality in their soliloquies.Bernard, one of the seven characters in the book, is Woolfs expression of the artist in quest of a total vision of life.We see Bernard, the "phrasemaker," in the process of coming to terms with his Self within the flux of time.Significantly, he utters the first and last words of the novel.In the final soliloquy, he expresses the summary statement."Now to sum up . . .Now to explain to you the meaning of my life."1Thus he begins his last utterance.He speaks "freely" of the "illusion . . .that something adheres for a moment, has roundness, weight, depth, is complete.This, for the moment, seems to be my life.If it were possible, I would hand it to you entire" (p.238).Earlier he says: "We are the creators.We have made something that will join the innumerable congrega tions of past time" (p.146).Bernard represents not so much a participant in this or that morsel of history, but spiritual entity, in the</t>
  </si>
  <si>
    <t xml:space="preserve">1986.0</t>
  </si>
  <si>
    <t xml:space="preserve">1986-01-01</t>
  </si>
  <si>
    <t xml:space="preserve">https://doi.org/10.17077/0743-2747.1195</t>
  </si>
  <si>
    <t xml:space="preserve">OABASEV1_cf3efcd6d2d77ddd</t>
  </si>
  <si>
    <t xml:space="preserve">W000018002</t>
  </si>
  <si>
    <t xml:space="preserve">W306585970</t>
  </si>
  <si>
    <t xml:space="preserve">Poems</t>
  </si>
  <si>
    <t xml:space="preserve">Robert Louis Stevenson</t>
  </si>
  <si>
    <t xml:space="preserve">Quick and Bright but Somewhat Desultory Scholar</t>
  </si>
  <si>
    <t xml:space="preserve">From Robert Louis Stevenson: A Life Study in Criticism (1901) 18–23. Henry Bellyse Baildon (1849–1907) met Louis at Robert Thompson’s day school in Frederick Street, Edinburgh, in 1864 and they collaborated in the school magazine until Baildon left for the University in the autumn of 1865, where their friendship later resumed. He remained one of those friends to whom Louis in Samoa could indulge his nostalgic longings for Scotland. Baildon was the author of Rosamund, a Tragic Drama (1875) and several books of poems. He contributed the Stevenson entry to Homes and Haunts of Famous Authors (1906). In Temple Bar , 104 (March 1895) 325–33, he paid tribute to Stevenson as the enemy of moral pedantry and the most genuinely modest of men, revolted by the grim severity of Calvinism, yet with ‘his own rather exacting standards for human behaviour’ (331). These keywords were added by machine and not by the authors. This process is experimental and the keywords may be updated as the learning algorithm improves.</t>
  </si>
  <si>
    <t xml:space="preserve">1996.0</t>
  </si>
  <si>
    <t xml:space="preserve">1996-01-01</t>
  </si>
  <si>
    <t xml:space="preserve">https://doi.org/10.1007/978-1-349-24355-6_5</t>
  </si>
  <si>
    <r>
      <rPr>
        <sz val="10"/>
        <rFont val="Calibri"/>
        <family val="0"/>
        <charset val="1"/>
      </rPr>
      <t xml:space="preserve">Stevenson</t>
    </r>
    <r>
      <rPr>
        <sz val="10"/>
        <rFont val="Noto Sans CJK SC"/>
        <family val="2"/>
      </rPr>
      <t xml:space="preserve">伝記的抜粋。「</t>
    </r>
    <r>
      <rPr>
        <sz val="10"/>
        <rFont val="Calibri"/>
        <family val="0"/>
        <charset val="1"/>
      </rPr>
      <t xml:space="preserve">books of poems</t>
    </r>
    <r>
      <rPr>
        <sz val="10"/>
        <rFont val="Noto Sans CJK SC"/>
        <family val="2"/>
      </rPr>
      <t xml:space="preserve">」は</t>
    </r>
    <r>
      <rPr>
        <sz val="10"/>
        <rFont val="Calibri"/>
        <family val="0"/>
        <charset val="1"/>
      </rPr>
      <t xml:space="preserve">Baildon</t>
    </r>
    <r>
      <rPr>
        <sz val="10"/>
        <rFont val="Noto Sans CJK SC"/>
        <family val="2"/>
      </rPr>
      <t xml:space="preserve">の著作で、</t>
    </r>
    <r>
      <rPr>
        <sz val="10"/>
        <rFont val="Calibri"/>
        <family val="0"/>
        <charset val="1"/>
      </rPr>
      <t xml:space="preserve">Stevenson</t>
    </r>
    <r>
      <rPr>
        <sz val="10"/>
        <rFont val="Noto Sans CJK SC"/>
        <family val="2"/>
      </rPr>
      <t xml:space="preserve">の </t>
    </r>
    <r>
      <rPr>
        <sz val="10"/>
        <rFont val="Calibri"/>
        <family val="0"/>
        <charset val="1"/>
      </rPr>
      <t xml:space="preserve">Poems </t>
    </r>
    <r>
      <rPr>
        <sz val="10"/>
        <rFont val="Noto Sans CJK SC"/>
        <family val="2"/>
      </rPr>
      <t xml:space="preserve">への参照はない</t>
    </r>
  </si>
  <si>
    <t xml:space="preserve">OABASEV1_705544e41a36d8fb</t>
  </si>
  <si>
    <t xml:space="preserve">W000005423</t>
  </si>
  <si>
    <t xml:space="preserve">W2401618994</t>
  </si>
  <si>
    <t xml:space="preserve">OpenAlex R2+A1 Blind Human Audit — R2A1A04</t>
  </si>
  <si>
    <t xml:space="preserve">Heart of darkness</t>
  </si>
  <si>
    <t xml:space="preserve">Feminine images and shadow projection of deracinement in Heart of Darkness</t>
  </si>
  <si>
    <t xml:space="preserve">In Joseph Conrad's works of depicting sea journey and European colonization,female characters are comparatively fewer and weaker.Yet in his masterpiece Heart of Darkness,there are not only five female characters but also abundant feminine images,from darkness and heart in the title to river,Africa,primitive,land,shadow,etc.which prevail through the whole novel. Do these feminine images have something to do with the sense of guilt of his so-called betrayal to his motherland or are they the shadow projection of his deracinement? The present paper sets to get these feminine images connected with Conrad's miserable childhood,his betrayal to his motherland,his sense of guilt and his deracinement,therefore to interpret how Conrad made use of these feminine images to memorize his childhood and how he gained Katharsis and expiation by means of shadow projection.</t>
  </si>
  <si>
    <t xml:space="preserve">OABASEV1_10e8fd8081d84a16</t>
  </si>
  <si>
    <t xml:space="preserve">W000030652</t>
  </si>
  <si>
    <t xml:space="preserve">W2385656498</t>
  </si>
  <si>
    <t xml:space="preserve">McTeague</t>
  </si>
  <si>
    <t xml:space="preserve">Frank Norris</t>
  </si>
  <si>
    <t xml:space="preserve">Combating Injustice: The Naturalism of Frank Norris, Jack London, and John Steinbeck</t>
  </si>
  <si>
    <t xml:space="preserve">Jon Falsarella Dawson begins Combating Injustice: The Naturalism of Frank Norris, Jack London, and John Steinbeck by proposing a reinterpretation of the familiar literary movement, naturalism, through a distinct theoretical lens, social critique. He is particularly interested in investigating financial and economic questions, a line of inquiry that has not been as frequently applied to naturalist texts. Traditionally, the movement has been linked to its origins in nineteenth-century biological and sociological discourses, particularly the Lamarckian and Spenserian strands that occupied the social imaginary. Such traditional criticism often connected these discourses with recurrent themes of determinism. Dawson pivots within this critical trend, offering an alternative approach to similar thematic concerns. He writes that “economic determinism is central to social criticism in American naturalism” (5). For Dawson, themes of determinism can be closely connected to causative economic forces. Thus, the restriction of the individual’s agency is less biological (as in traditional readings) than economic and social. Dawson proposes that naturalist writers use this economic determinism in service of their broader social critique.Combating Injustice comprises eight chapters. In addition to the book’s introduction and conclusion, each of selected important writers receive two chapters dedicated to their work. Dawson focuses on Norris’s McTeague and The Octopus; London’s Martin Eden, The Iron Heel, and two short stories; and Steinbeck’s In Dubious Battle and The Grapes of Wrath. Each chapter maintains, for the most part, a consistent pattern. Dawson begins by providing historical context for each work, drawing attention to the prevailing political and economic structures. His selection of historical material is acute and directly serves his literary analysis throughout. He then moves to an extended close reading, tracing the texts’ engagement with and transformation of the historical moment. His theoretical approach is brought alongside the text, rather than being callously imposed upon it. Dawson draws numerous compelling examples and repeatedly clarifies how economic forces manifest in these texts. The style of his prose is both measured and clear, articulating nuanced interpretations in an accessible way. In many regards, Dawson’s prose is exemplary, avoiding the opaque jargon that can sometimes detract from literary arguments.His chapters on Norris are especially strong. Dawson emphasizes the cultural weight that issues of monopoly, speculation, and financial innovation carried during Norris’s career and in the fictional world of his novels. In his discussion of both McTeague and The Octopus, Dawson traces how national economic structures circumscribe characters’ actions. Furthermore, he highlights themes of industrial extraction and the “tragedies that emerge from privileging financial gain over the common good” (68). In his treatment of Norris, Dawson emphasizes the power and scope of economic systems. This macro-level concern responds to the ambitious scope of Norris’s wheat trilogy. Norris was interested in the broad mechanics of economy and planned to trace the movements of a single commodity (wheat) from Californian farmers (The Octopus), to Chicagoan distributors (The Pit), and then to European consumers (The Wolf [unwritten]). Dawson’s critique ambitiously engages the mechanics of such large systems.The chapters on London are equally insightful. Dawson shifts from Norris’s emphasis on systems to London’s interest in the cultural repercussions of such structures. Given London’s ardent socialist bent, Dawson’s analysis finds ample instances of political and economic representation. Furthermore, he follows London in paying particular attention to the working conditions that plagued the lower class. Dawson outlines the interpersonal deterioration and individual alienation manifested in London’s proverbial “work-beast” and Martin Eden’s class ascension. He articulates the dehumanizing effects of industrial efficiency. The brutal commitment to mere production transformed a character like Johnny (“The Apostate”) into an “abnormal creature that violates the patterns of the world” (78).Dawson’s chapters on Steinbeck offer excellent introductions to the historical context that deeply informed In Dubious Battle and The Grapes of Wrath. Furthermore, Dawson does a nice job situating Steinbeck’s political perspectives alongside his complex concerns as a writer. For example, in his discussion of In Dubious Battle, Dawson engages Steinbeck’s commentary on the novel: “I have used a small strike in an orchard valley as the symbol of man’s eternal, bitter warfare with himself. . . . I’m not interested in strike as a means of raising wages, and I’m not interested in ranting about justice” (145). On the face of it, this insight weakens an economic and social interpretation of the text. However, Dawson provides a crucial gloss: “While Steinbeck deemphasizes the concrete aims of labor struggles, they do provide the context for the representation of issues fundamental to the human enterprise, an approach that expands the project from a mere muckraking book to an exploration of the forces that animate behavior” (145). Dawson aptly describes how the symbolic approach does not negate the importance of the context. The material conditions of the labor struggle mediate “issues fundamental to the human enterprise.” While In Dubious Battle is not a proletarian novel (the strikers are not idealized), Dawson argues that Steinbeck was not politically neutral. Steinbeck often occupied a liminal space between political poles; on the right, he was too sympathetic to communism; on the left, he was not sympathetic enough. While acknowledging that the text resists the didactic melodrama of a muckraking novel, Dawson argues that Steinbeck clearly emphasizes the need to alter the economic conditions that were responsible for the conflict. Dawson writes, “In Dubious Battle suggests the clash must inevitably take place despite the vast obstacles against the victory of labor in order to alter socioeconomic conditions” (161).In his reading of In Dubious Battle, Dawson also extends his argument regarding economic determinism. He writes that Steinbeck’s animal imagery “reiterates the causative function of the landowners, signifying that the laborers have been reduced to their present conditions by the practices of the powerful” (155). While Dawson acknowledges Steinbeck’s interest in the phalanx, he ultimately places far more emphasis on the causative forces of the owners. Therefore, the strikers’ violent actions are more determined by particular social pressures than the universal phalanx phenomenon. The degree to which Dawson interprets economic determinism in In Dubious Battle may strike some Steinbeck scholars as overstated.In his chapter on The Grapes of Wrath, Dawson continues to extend previous interpretations. He contends that “socioeconomic” forces explain the Joads’ exodus and delineate their actions throughout the novel (162). The deterministic reading is particularly bold throughout this chapter: “representations of capital comprise the primary deterministic agents in The Grapes of Wrath” (167). While such a claim can be closely substantiated by examples from Norris and London (and, to a lesser degree, In Dubious Battle), this economic interpretation may strike some readers as more tenuous in regard to Grapes. The ecological disaster, which Dawson briefly mentions, is explained as an outworking of “economic motives” (169). Considering the cultural, religious, environmental, and political influences that created the Dust Bowl, the attribution of the event to a causative economic base seems reductive. In other places, the theoretical framework feels likewise strained. At one point, Dawson describes Ma Joad’s compassion as “indicating that the poor have an obligation to their class” (184). This “class” language subtly undermines the broader universal compassion that Steinbeck deeply engrains in the novel.Despite these quibbles, Dawson’s broader framework is still a helpful hermeneutic for Grapes, specifically his attention to alienation. In resonance with London’s emphasis on dehumanization, Steinbeck emphasizes the negative effects that accompany instrumental practices and industrial efficiency. Dawson quotes, for instance, this famous descriptive phrase from Grapes: “the machine man, driving a dead tractor on land he does not know or love” (qtd. 168). When the world is approached as a mere accumulation of resources, humanity’s relationship with the natural world becomes sterile. Throughout the book, Dawson repeatedly connects this alienation to broader economic structures. In this sense, his interpretation provides a language to identify such threads of personal and social regression.Dawson concludes Combating Injustice by reiterating that Norris, London, and Steinbeck engage ideas of economic determinism in order to illuminate social issues and ameliorate material conditions (186). The later part of his argument represents a substantial shift in understanding the naturalist mode. Dawson diverts attention from the failings of the individual, writhing under natural and obscure forces, toward the importance of collective action and the potential for improvement. In this way, Dawson provides an optimistic avenue for approaching naturalism; while humanity is restricted by external forces, these forces are largely manufactured and impermanent. Dawson draws our attention to the possibility of reform and revolution, which is manifested across these writers’ work. Combating Injustice is an excellent thematic survey of its selected writers and provides a rich historical overview of American economic tensions, tensions which have remained relevant and important in modern discourse.</t>
  </si>
  <si>
    <t xml:space="preserve">2023-12-01</t>
  </si>
  <si>
    <t xml:space="preserve">https://doi.org/10.5325/steinbeckreview.20.2.0293</t>
  </si>
  <si>
    <t xml:space="preserve">OABASEV1_262c5d119ec3bebb</t>
  </si>
  <si>
    <t xml:space="preserve">W000008097</t>
  </si>
  <si>
    <t xml:space="preserve">W4390414700</t>
  </si>
  <si>
    <t xml:space="preserve">Kalp Anatomisinin Tarihsel Serüveni</t>
  </si>
  <si>
    <t xml:space="preserve">ÖzetTıp, insanlıkla birlikte varlığını sürdüren ve insan hayatının vazgeçilmez bir unsurudur. Tarih boyunca kalbin vücutta önemli bir fonksiyonu olduğuna inanılmıştır. Amacımız, tarih boyunca vücutta önemli bir fonksiyonu olduğu inanılan kalbin tarihsel gelişimini, anatomik gelişmeler açıdan değerlendirmektir. Eski uygarlıklarda damarlarda sadece kan değil aynı zamanda havanın olduğu kabul ediliyordu. Bu döneme ait eserlerde kalp atışlarından da bahsedilmektedir. Antik Yunan döneminde arterler ile venlerin farklı yapılar olduğu tespit edilmiştir. İskenderiye Tıp Okulunda kalbin bir pompa gibi çalıştığından, trikuspid kapak ve fonksiyonlarından bahsedilmiştir. Roma dönemi bilginlerinden Galen yaptığı çalışmalar sonucunda kanın ventriküller arası bölmeden geçiş yaptığını ileri sürmüştür. Bu görüş “otoriteye koşulsuz bağlılık” düşüncesi nedeniyle, 17. yy’a kadar varlığını devam ettirmiştir. İbn Sînâ, Galen’in halefi olarak kabul edilmiştir. İbn ün-Nefis yaptığı araştırmalar sonucunda Galen ve İbn Sina’nın aksine ventriküller arası bölmeden geçişin olmadığını belirtir. Ayrıca İbn ün-Nefis 13. yy da küçük pulmoner dolaşımı keşfetmiştir. 1500’lü yıllardan itibaren kan dolaşım sisteminden, koroner damarlardan, kalp kapakçıklarından ve kılcal damarlardan bahsedilmiştir. Tarihsel süreçte kalbin anatomik yapısı ve çalışma sisteminin tespiti ilk çalışma konuları olarak karşımıza çıkmaktadır. Daha sonra ki süreç kan gruplarının tespitinden kalp naklinin gerçekleştirilmesine kadar ki aşamaları içermektedir.AbstractMedicine has existed with humanity and it is an indispensable element of human life. Throughout history, the heart has been believed to possess an important function in the body. Our aim historical development of the heart is evaluate in terms of the anatomical developments. In the ancient civilizations, it was demonstrated that there were both blood and the air in the vessels in the body. Moreover, the heart beats have been mentioned. In ancient Greece, it was identified that the arteries and veins had different functions. In Alexandria Medical School were discussed the tricuspid valve and its functions. According to Galen some blood from the right ventricle to the left ventricle transfers via pores found in the septum. This theory domiated Western medicine until 17th centruy due to “strict obedience to authority”. Avicenna, as the successor of Galen has been recognized. Ibn al-Nafis unlike Galen and Avicenna clearly described that blood came from the right heart to the lungs and mixed there with air and then returned to the left heart. Ibn al-Nafis discovery of pulmonary circulation in 13th centruy. In the historical process, the first study subject were about anatomical and physiological structures of the heart. Then the process have included all stages form determination of blood groups to a heart transplant.</t>
  </si>
  <si>
    <t xml:space="preserve">2014-01-01</t>
  </si>
  <si>
    <r>
      <rPr>
        <sz val="10"/>
        <rFont val="Noto Sans CJK SC"/>
        <family val="2"/>
      </rPr>
      <t xml:space="preserve">著者名ターゲット：心臓解剖史で</t>
    </r>
    <r>
      <rPr>
        <sz val="10"/>
        <rFont val="Calibri"/>
        <family val="0"/>
        <charset val="1"/>
      </rPr>
      <t xml:space="preserve">Galen</t>
    </r>
    <r>
      <rPr>
        <sz val="10"/>
        <rFont val="Noto Sans CJK SC"/>
        <family val="2"/>
      </rPr>
      <t xml:space="preserve">の学説に言及</t>
    </r>
  </si>
  <si>
    <t xml:space="preserve">OABASEV1_7d3239ae26c355f7</t>
  </si>
  <si>
    <t xml:space="preserve">W2266493076</t>
  </si>
  <si>
    <t xml:space="preserve">The Yearling</t>
  </si>
  <si>
    <t xml:space="preserve">Marjorie Kinnan Rawlings</t>
  </si>
  <si>
    <t xml:space="preserve">Preserving Southern Culture: Marjorie Kinnan Rawlings’s The Yearling</t>
  </si>
  <si>
    <t xml:space="preserve">2017-09-20</t>
  </si>
  <si>
    <t xml:space="preserve">OABASEV1_86edba5fdb224b89</t>
  </si>
  <si>
    <t xml:space="preserve">W000000940</t>
  </si>
  <si>
    <t xml:space="preserve">W7014557848</t>
  </si>
  <si>
    <t xml:space="preserve">Herland</t>
  </si>
  <si>
    <t xml:space="preserve">Charlotte Perkins Gilman</t>
  </si>
  <si>
    <t xml:space="preserve">Herland (1915): Charlotte Perkins Gilman¿s Critiques of Patriarchal Society through Utopia</t>
  </si>
  <si>
    <t xml:space="preserve">OABASEV1_549417355f81874d</t>
  </si>
  <si>
    <t xml:space="preserve">W000014039</t>
  </si>
  <si>
    <t xml:space="preserve">W7066006703</t>
  </si>
  <si>
    <t xml:space="preserve">The fusion of magic and realism in two lays of Marie de France</t>
  </si>
  <si>
    <t xml:space="preserve">1975.0</t>
  </si>
  <si>
    <t xml:space="preserve">1975-07-01</t>
  </si>
  <si>
    <t xml:space="preserve">https://doi.org/10.1007/bf01514003</t>
  </si>
  <si>
    <t xml:space="preserve">OABASEV1_f144ede547729329</t>
  </si>
  <si>
    <t xml:space="preserve">W2042527393</t>
  </si>
  <si>
    <t xml:space="preserve">MRS HUMPHRY WARD, VERNON LEE, AND HENRY JAMES</t>
  </si>
  <si>
    <t xml:space="preserve">PETER COLLISTER; MRS HUMPHRY WARD, VERNON LEE, AND HENRY JAMES, The Review of English Studies, Volume XXXI, Issue 123, 1 January 1980, Pages 315–321, https://do</t>
  </si>
  <si>
    <t xml:space="preserve">1980-01-01</t>
  </si>
  <si>
    <t xml:space="preserve">https://doi.org/10.1093/res/xxxi.123.315</t>
  </si>
  <si>
    <t xml:space="preserve">OABASEV1_047e5cb3d248688a</t>
  </si>
  <si>
    <t xml:space="preserve">W2070119163</t>
  </si>
  <si>
    <t xml:space="preserve">"Space: what you damn well have to see": Psychogeography in James Joyce's Ulysses</t>
  </si>
  <si>
    <t xml:space="preserve">https://doi.org/10.15781/t2rn30r89</t>
  </si>
  <si>
    <t xml:space="preserve">OABASEV1_3f1d3632073eff18</t>
  </si>
  <si>
    <t xml:space="preserve">W6962492117</t>
  </si>
  <si>
    <t xml:space="preserve">The Best Short Stories of 1932</t>
  </si>
  <si>
    <t xml:space="preserve">Edward J. O'Brien</t>
  </si>
  <si>
    <t xml:space="preserve">The Kane Penn, vol. 1, no. 20</t>
  </si>
  <si>
    <t xml:space="preserve">Volume 1, issue number 20 from The Kane Penn, a semi-monthly newsletter by members of CPS Camp 16 in Kane, Pennsylvania. The issue reports on the following topics: overview of a camp meeting; highlights from a recent track meet; recollecting the passing of Selective Service regulations and the testimonies made on behalf of the conscientious objectors at subsequent hearings; the first regular get-together by the Redbridge Players; quote from General Hershey concerning draft board rejections; reflections on what education to offer Campers; humorous anecdotes; spotlight on ‘The Best Short Stories of 1932’ edited by Edward J. O’Brien; list of new arrivals and transfers; random ‘oddities’ from world news; spotlight on periodicals available to read in the library; the doctrines of the Faith Tabernacle religious group; Camp Kane statistics. Note: under the heading for Faith Tabernacle Doctrines, is an editor’s note which reads: ""This is the third of a series of articles concerning the different religious faiths held by members of this camp."" The issue was addressed to M. B. Rovner, Buffalo Teacher, Editor, in Buffalo, New York.</t>
  </si>
  <si>
    <t xml:space="preserve">1943.0</t>
  </si>
  <si>
    <t xml:space="preserve">1943-07-11</t>
  </si>
  <si>
    <t xml:space="preserve">OABASEV1_2b849649999ab44b</t>
  </si>
  <si>
    <t xml:space="preserve">W000010602</t>
  </si>
  <si>
    <t xml:space="preserve">W7209882607</t>
  </si>
  <si>
    <t xml:space="preserve">PRACTICAL DEDUCTIONS FROM URINARY FINDINGS IN DIABETES</t>
  </si>
  <si>
    <t xml:space="preserve">Since the days of Aretæus, 150 A. D., the first to use the term diabetes—the Greek word for siphon, the fanciful analogy being invoked by three of the cardinal symptoms of the disease, namely, thirst, emaciation and diuresis—the urine has always been looked on as the chief source for diagnosis in diabetes. Hippocrates, Celsus and Galen, in describing this malady, make continuous reference to the "sweet and honey urine." Glucose was first isolated and demonstrated in the urine in 1770 by Matthew Dobson of Liverpool. With the recent remarkable advance of medicine, particularly with the progress of pathology and physiologic chemistry, the finding of diabetic urine not only makes the diagnosis of the disease, but throws light on the etiology, gives valuable aid to the surgeon and obstetrician in solving their problems when diabetes occurs as a complication, and is the guiding star in diagnosis and treatment. In</t>
  </si>
  <si>
    <t xml:space="preserve">1910.0</t>
  </si>
  <si>
    <t xml:space="preserve">1910-03-12</t>
  </si>
  <si>
    <t xml:space="preserve">https://doi.org/10.1001/jama.1910.92550370001001g</t>
  </si>
  <si>
    <r>
      <rPr>
        <sz val="10"/>
        <rFont val="Noto Sans CJK SC"/>
        <family val="2"/>
      </rPr>
      <t xml:space="preserve">著者名ターゲット：</t>
    </r>
    <r>
      <rPr>
        <sz val="10"/>
        <rFont val="Calibri"/>
        <family val="0"/>
        <charset val="1"/>
      </rPr>
      <t xml:space="preserve">Galen</t>
    </r>
    <r>
      <rPr>
        <sz val="10"/>
        <rFont val="Noto Sans CJK SC"/>
        <family val="2"/>
      </rPr>
      <t xml:space="preserve">の糖尿病記述への言及</t>
    </r>
  </si>
  <si>
    <t xml:space="preserve">OABASEV1_25f0615e889025b7</t>
  </si>
  <si>
    <t xml:space="preserve">W2083005922</t>
  </si>
  <si>
    <t xml:space="preserve">Ama Ata Aidoo's Heart of Darkness</t>
  </si>
  <si>
    <t xml:space="preserve">This essay reads Aidoo's novel Our Sister Killjoy as a postcolonial revision of Joseph Conrad's Heart of Darkness. While both novels have been accused of being racist texts, this essay argues that the implied existence of Conrad's text is crucial for our understanding of Aidoo's racist representational strategies. The drama of Aidoo's novel lies in approaching and refraining from the horror of the racism of Conrad's Heart of Darkness.</t>
  </si>
  <si>
    <t xml:space="preserve">https://doi.org/10.1353/ral.2004.0015</t>
  </si>
  <si>
    <t xml:space="preserve">OABASEV1_efa21d9d35bac274</t>
  </si>
  <si>
    <t xml:space="preserve">W4253841904</t>
  </si>
  <si>
    <t xml:space="preserve">The vicar of Wakefield</t>
  </si>
  <si>
    <t xml:space="preserve">Oliver Goldsmith</t>
  </si>
  <si>
    <t xml:space="preserve">Oliver Goldsmith’s The Vicar of Wakefield and Cesare Beccaria’s On Crimes and Punishments</t>
  </si>
  <si>
    <t xml:space="preserve">This paper posits the influence of Cesare Beccaria’s Dei delitti e delle pene on the development of characters and episodes in Oliver Goldsmith’s The Vicar of Wakefield using the close analogies between the two texts, particularly the later chapters of the novel, the time lapse between the sale to the publisher and the eventual publication of the novel that allowed for revisions and additions to the text, and the spread of Beccaria’s ideas in England prior to the English translation of his work.</t>
  </si>
  <si>
    <t xml:space="preserve">2019-05-27</t>
  </si>
  <si>
    <t xml:space="preserve">https://doi.org/10.13128/ds-25446</t>
  </si>
  <si>
    <t xml:space="preserve">OABASEV1_0f86370af9f9066a</t>
  </si>
  <si>
    <t xml:space="preserve">W000018882</t>
  </si>
  <si>
    <t xml:space="preserve">W2963224946</t>
  </si>
  <si>
    <t xml:space="preserve">Coleridgean Contributions</t>
  </si>
  <si>
    <t xml:space="preserve">By 1802, Coleridge had begun to suspect what the next thirty years would confirm – that there was a ‘radical Difference’ between Wordsworth’s conception of poetry and his own ( CL STC II. 830). Lyrical Ballads was the outcome of a period of initial excitement when, at the start of a relationship, each man was able to suspend his difference and, for a while, be a version of himself that met the other’s hopes and ideals. As such, it was a typical project for Coleridge, who had an intense need to be part of a literary circle in which friendship gave rise to, and was in turn intensified by, communal writing, reading and publishing. He had been co-writing or co-publishing poems with Southey since 1794; in 1797 his first verse collection included poems by his friends Charles Lloyd and Charles Lamb. Wordsworth, on the other hand, had never published collaboratively before and never would again. In a sense, then, Lyrical Ballads (1798) was a Coleridgean volume, one of many co-authored outlets for a practice of versifying that he shared with friends – a practice that was often self-reflexive: the poems were often about the shared experiences of the friends with whom they were written and/or to whom they were recited. A case in point was ‘This Lime Tree Bower My Prison’, the poem in which Coleridge first invoked William and Dorothy in the conversational voice that he and Wordsworth would develop during the next five years. The poem features Charles Lamb as well as the Wordsworths and was recited to them on the spot where it was composed. It was not, however, published in Lyrical Ballads but in Southey’s Annual Anthology alongside contributions by other members of the circle – including Joseph Cottle, the Bristol bookseller who published both it and Lyrical Ballads . This pattern suggests that Lyrical Ballads was just one of many joint publications by which Coleridge sought to promote the innovatory poetic style of the West Country circle, and in so doing endorse their group language. Other poems went into the columns of The Morning Post , where verse by Southey and by Mary Robinson (a satellite member of the group) also appeared.</t>
  </si>
  <si>
    <t xml:space="preserve">2020-01-09</t>
  </si>
  <si>
    <t xml:space="preserve">https://doi.org/10.1017/9781108236300.006</t>
  </si>
  <si>
    <r>
      <rPr>
        <sz val="10"/>
        <rFont val="Noto Sans CJK SC"/>
        <family val="2"/>
      </rPr>
      <t xml:space="preserve">著者名ターゲット：</t>
    </r>
    <r>
      <rPr>
        <sz val="10"/>
        <rFont val="Calibri"/>
        <family val="0"/>
        <charset val="1"/>
      </rPr>
      <t xml:space="preserve">Coleridge</t>
    </r>
    <r>
      <rPr>
        <sz val="10"/>
        <rFont val="Noto Sans CJK SC"/>
        <family val="2"/>
      </rPr>
      <t xml:space="preserve">詩集に収録された</t>
    </r>
    <r>
      <rPr>
        <sz val="10"/>
        <rFont val="Calibri"/>
        <family val="0"/>
        <charset val="1"/>
      </rPr>
      <t xml:space="preserve">Lamb</t>
    </r>
    <r>
      <rPr>
        <sz val="10"/>
        <rFont val="Noto Sans CJK SC"/>
        <family val="2"/>
      </rPr>
      <t xml:space="preserve">の詩、</t>
    </r>
    <r>
      <rPr>
        <sz val="10"/>
        <rFont val="Calibri"/>
        <family val="0"/>
        <charset val="1"/>
      </rPr>
      <t xml:space="preserve">Lamb</t>
    </r>
    <r>
      <rPr>
        <sz val="10"/>
        <rFont val="Noto Sans CJK SC"/>
        <family val="2"/>
      </rPr>
      <t xml:space="preserve">が登場する詩への言及</t>
    </r>
  </si>
  <si>
    <t xml:space="preserve">OABASEV1_c6a705fee33ff22b</t>
  </si>
  <si>
    <t xml:space="preserve">W000014829</t>
  </si>
  <si>
    <t xml:space="preserve">W4245878286</t>
  </si>
  <si>
    <t xml:space="preserve">0. Introduction: Transatlantic North American Studies</t>
  </si>
  <si>
    <t xml:space="preserve">Text and Theory series.It responds to the considerable surge of interest in transatlantic literary and cultural studies that has impacted the discipline of North American Studies for the last twenty years.Like many other approaches that fall within the orbit of what is usually called the 'transnational turn,' transatlantic studies seek to give accounts of literary and cultural developments and phenomena now that 'nation' has become a heavily contested concept, replacing the nation-state with the Atlantic world as a site of cultural production.Transatlantic studies have provided important new perspectives on both North American and English (whereby is meant both British and Irish, unless specified differently) literature, producing a multitude of publications and research projects exploring periods, aesthetic developments, genres, the works and artistic biographies of individual authors as well as literary culture in a broad sense.Adopting a bifocal perspective, scholars have examined the complex processes of intellectual and material exchange defining the Atlantic world ever since the days of its exploration and their effect on literary writing.Rather than dwelling on comparisons or engaging with the notion of 'influence,' transatlantic literary studies seek to understand North American and English literature as irreducibly linked with each other by virtue of historical and cultural ties and pay special attention to the many refractions and mutual interferences that have characterized both traditions.This has led to a revision of literary history, a rethinking of preconceived ideas of the canon and national literature, a new approach to genres and texts and a reconsideration of the Anglo-American literary market and its manifold processes of production, distribution, reception and criticism.This handbook combines articles that present some of the crucial concepts, debates and topics in transatlantic literary studies, thereby reflecting on the added benefit of a distinct transatlantic perspective in contradistinction to other related approaches similarly interested in literature as a transnational phenomenon, such as 'comparative (American) studies,' 'transnationalism' or 'post-colonialism.'For example, contributions contained in this volume examine periods in literary and cultural history when transatlantic relations were particularly dense (such as the colonial period), literary movements (such as modernism or romanticism) and individual authors (e.g., Henry James) with strong transatlantic profiles, as well as genres that</t>
  </si>
  <si>
    <t xml:space="preserve">2016-05-10</t>
  </si>
  <si>
    <t xml:space="preserve">https://doi.org/10.1515/9783110376739-002</t>
  </si>
  <si>
    <r>
      <rPr>
        <sz val="10"/>
        <rFont val="Noto Sans CJK SC"/>
        <family val="2"/>
      </rPr>
      <t xml:space="preserve">表示テキスト（</t>
    </r>
    <r>
      <rPr>
        <sz val="10"/>
        <rFont val="Calibri"/>
        <family val="0"/>
        <charset val="1"/>
      </rPr>
      <t xml:space="preserve">transatlantic studies</t>
    </r>
    <r>
      <rPr>
        <sz val="10"/>
        <rFont val="Noto Sans CJK SC"/>
        <family val="2"/>
      </rPr>
      <t xml:space="preserve">序論）に</t>
    </r>
    <r>
      <rPr>
        <sz val="10"/>
        <rFont val="Calibri"/>
        <family val="0"/>
        <charset val="1"/>
      </rPr>
      <t xml:space="preserve">Henry James</t>
    </r>
    <r>
      <rPr>
        <sz val="10"/>
        <rFont val="Noto Sans CJK SC"/>
        <family val="2"/>
      </rPr>
      <t xml:space="preserve">の言及なし</t>
    </r>
  </si>
  <si>
    <t xml:space="preserve">OABASEV1_ba893178e8a4a23f</t>
  </si>
  <si>
    <t xml:space="preserve">W2500488739</t>
  </si>
  <si>
    <t xml:space="preserve">Der Kaiser Claudius : eine historische Studie</t>
  </si>
  <si>
    <t xml:space="preserve">iliiiiÄiiifii Der Kaiser Claudius spielt in der Geschichte keine hervorragende Rolle.Er gilt als geistig minderwertig, unselbständig, feig und grausam, trotzdem eine Menge von Zügen von ihm erzählt wird, die mit dieser Ansicht in offensichtigem Widerspruch stehen.Um sich ein gerechtes Urteil über diesen Mann bilden zu können, muß man festhalten, daß es mit der Wahrheitsliebe der Ge¬ schichtsschreiber der ersten Kaiserzeit nicht weit her ist.1) Steckte doch noch zu viel republikani¬ sches Blut in den Kreisen, die sich der Geschichtsschreibung widmeten, um in der Beurteilung der Kaiser volle Gerechtigkeit walten zu lassen.Dies zwingt uns selbst einem Tacitus gegenüber, ob¬ wohl dieser zweifellos gerecht sein will, zur Vorsicht und berechtigt uns zum Mißtrauen bei Nach¬ richten, die geeignet sind, die Vertreter des Kaisertums in den Augen der Leser herabzusetzen.Schon hat eine gerechtere Beurteilung des Tiberius Platz gegriffen; aber auch Claudius, dessen Bild heute noch allzu sehr verdunkelt erscheint, verdient es, gegen unbegründete Vorwürfe seiner Zeitgenossen in Schutz genommen zu werden.I. Claudius vor seiner Thronbesteigung.Claudius oder mit seinem vollen Namen Tiberius Claudius Drusus Nero Germanicus 2), der jüngste Sohn des Prinzen Drusus und der jüngeren Antonia, wurde am 1. August unter dem Konsulate des Julius Antonius und Fabius Africanus d. i. im Jahre 10 vor.Chr.zu Lugdunum ge¬ boren' 1), wohin seine Mutter ihrem Gemahl von Rom aus gefolgt war.Nach dem frühen Tode seines Vaters, 9 vor Chr., siedelte Antonia mit ihm und seinen älteren Geschwistern Germanicus und Livilla von dort wieder in die Hauptstadt über, wo sie sich, zu dauerndem Wittum ent¬ schlossen, ganz der Erziehung ihrer Kinder widmete.Der junge Prinz war im Gegensatz zu seinen Geschwistern ein häßliches, krankes, nervöses und eigenwilliges Kind.Es hat sich deshalb die Sage gebildet, als ob er von seinen Angehörigen, selbst von seiner Mutter, lieblos behandelt worden sei.Daß dies jedoch keineswegs der Fall war, beweisen unter anderem, hauptsächlich Bruchstücke aus drei Briefen des Augustus, aus denen klar hervorgeht, einmal daß sowohl dem *) Tacitus, ann.I, 1. Flavius Josephus, Jüd-Altert.XX, 8, 3. -') Den Beinamen Germanicus bekam</t>
  </si>
  <si>
    <t xml:space="preserve">1914.0</t>
  </si>
  <si>
    <t xml:space="preserve">1914-01-01</t>
  </si>
  <si>
    <r>
      <rPr>
        <sz val="10"/>
        <rFont val="Calibri"/>
        <family val="0"/>
        <charset val="1"/>
      </rPr>
      <t xml:space="preserve">Claudius</t>
    </r>
    <r>
      <rPr>
        <sz val="10"/>
        <rFont val="Noto Sans CJK SC"/>
        <family val="2"/>
      </rPr>
      <t xml:space="preserve">帝研究。表示テキストに</t>
    </r>
    <r>
      <rPr>
        <sz val="10"/>
        <rFont val="Calibri"/>
        <family val="0"/>
        <charset val="1"/>
      </rPr>
      <t xml:space="preserve">Josephus</t>
    </r>
    <r>
      <rPr>
        <sz val="10"/>
        <rFont val="Noto Sans CJK SC"/>
        <family val="2"/>
      </rPr>
      <t xml:space="preserve">の言及なし（本文で典拠として引用の可能性はある）</t>
    </r>
  </si>
  <si>
    <t xml:space="preserve">OABASEV1_592310b2470b57c2</t>
  </si>
  <si>
    <t xml:space="preserve">W7008987317</t>
  </si>
  <si>
    <t xml:space="preserve">REVIEWS</t>
  </si>
  <si>
    <t xml:space="preserve">REVIEWS Get access The Book of Troilus and Criseyde by Geoffrey Chaucer, edited from all the known Manuscripts by ROBERT KILBURN ROOT, Professor of English in Princeton University. London: Oxford University Press. Pp. xc. + 573. 27s. A. J. WYATT A. J. WYATT Search for other works by this author on: Oxford Academic Google Scholar The Review of English Studies, Volume os-III, Issue 10, April 1927, Pages 240–241, https://doi.org/10.1093/res/os-III.10.240 Published: 01 April 1927</t>
  </si>
  <si>
    <t xml:space="preserve">1927.0</t>
  </si>
  <si>
    <t xml:space="preserve">1927-01-01</t>
  </si>
  <si>
    <t xml:space="preserve">https://doi.org/10.1093/res/os-iii.10.240</t>
  </si>
  <si>
    <r>
      <rPr>
        <sz val="10"/>
        <rFont val="Noto Sans CJK SC"/>
        <family val="2"/>
      </rPr>
      <t xml:space="preserve">著者名ターゲット：</t>
    </r>
    <r>
      <rPr>
        <sz val="10"/>
        <rFont val="Calibri"/>
        <family val="0"/>
        <charset val="1"/>
      </rPr>
      <t xml:space="preserve">Troilus and Criseyde </t>
    </r>
    <r>
      <rPr>
        <sz val="10"/>
        <rFont val="Noto Sans CJK SC"/>
        <family val="2"/>
      </rPr>
      <t xml:space="preserve">校訂版の書評</t>
    </r>
  </si>
  <si>
    <t xml:space="preserve">OABASEV1_a82697efbae9323f</t>
  </si>
  <si>
    <t xml:space="preserve">W4256564283</t>
  </si>
  <si>
    <t xml:space="preserve">The Secret Garden</t>
  </si>
  <si>
    <t xml:space="preserve">Frances Hodgson Burnett</t>
  </si>
  <si>
    <t xml:space="preserve">free book pdf downloads</t>
  </si>
  <si>
    <t xml:space="preserve">free book pdf downloads Rating: 4.7 / 5 (4500 votes) Downloads: 23856 = = = = = CLICK HERE TO DOWNLOAD = = = = = Upgrade Premium. All free and available in most ereader formats Looking for free digital books? Best Free PDF eBooks , · An illustration of an open book. Z-Library – Unlock the Power of Knowledge with Zlibrary. LLooking for free digital books? Download books in PDF and many formats for free. Look no further than Z-Library! Welcome to Project Gutenberg. Browse zlibrary vast collection of books today! Lavada Redin what are your favorite comfort books. Audio. Look no further than Z-Library! Video. This online service offers easy access to the NCERT textbooks. Browse zlibrary vast collection of books today! An illustration of two cells of a film strip. All free and available in most ereader formats Looking for free digital books? Download books in PDF and many formats for free. My library Textbooks PDF (I-XII) Welcome to the Online Textbooks Section. Z-Library – Unlock the Power of Knowledge with Zlibrary. For this reason, we have a limit on daily download. Most books are stored in the elastic cloud 1) TheMost Downloaded Free BooksAlternative Therapy BooksAnimal BooksArt &amp; Photography BooksBiology BooksBusiness BooksChemistry InstaPDF is a free online PDF search engine that allows you to look for, preview, and download PDF files or documents. "GONE GIRL" BY GILLIAN FLYNN. Look no further than Z-Library! Upgrade Premium. Choose among free epub and Kindle eBooks, download them or read them online. Welcome to Z Library, your ultimate destination for accessing a vast collection of free eBooks Great selection of modern and classic books waiting to be discovered. An illustration of a " floppy PDF Books World offers free eBooks on fiction, non-fiction, academic, textbooks and childrens categories for download online in high quality PDF format Search the worlds most comprehensive index of full-text books. Project Gutenberg is a library of over, free eBooks. Browse zlibrary vast collection of books today! An illustration of an audio speaker. Most books are stored in the elastic cloud where traffic is expensive. Welcome to Z Library, your ultimate destination for accessing a vast collection of free eBooks Most books are stored in the elastic cloud where traffic is expensive. Choose among free epub and Kindle eBooks, download them or read them online. "THE SECRET GARDEN" BY FRANCES HODGSON BURNETT. Download books in PDF and many formats for free. Project Gutenberg is a library of over, free eBooks. There are often several download options, like EPUB, PDF, AZW3, and FBTheyre also readable online through the sites built-in book reader Welcome to Project Gutenberg. Books. The service covers textbooks of all subjects Great selection of modern and classic books waiting to be discovered. You will find the world's great literature here, with focus on older works for which U.S. copyright has expired Z-Library ProjectDownload Books Free With ZLibrary. Upgrade Premium. Choose among free epub and Kindle eBooks, download them or read them online. You Z-Library ProjectDownload Books Free With ZLibrary. You will find the world's great literature here, with focus on older works for which U.S. copyright has expired Z-Library ProjectDownload Books Free With ZLibrary. Project Gutenberg is a library of over, free eBooks. For this reason, we have a limit on daily download. Downloading books requires a free user account unless theres a link to Amazon, in which case you can grab it with your Amazon account. "THIS IS HOW Welcome to Project Gutenberg. Z-Library – Unlock the Power of Knowledge with Zlibrary.</t>
  </si>
  <si>
    <t xml:space="preserve">https://doi.org/10.5281/zenodo.12495283</t>
  </si>
  <si>
    <r>
      <rPr>
        <sz val="10"/>
        <rFont val="Noto Sans CJK SC"/>
        <family val="2"/>
      </rPr>
      <t xml:space="preserve">スパム的集約テキストだが </t>
    </r>
    <r>
      <rPr>
        <sz val="10"/>
        <rFont val="Calibri"/>
        <family val="0"/>
        <charset val="1"/>
      </rPr>
      <t xml:space="preserve">"THE SECRET GARDEN" BY FRANCES HODGSON BURNETT </t>
    </r>
    <r>
      <rPr>
        <sz val="10"/>
        <rFont val="Noto Sans CJK SC"/>
        <family val="2"/>
      </rPr>
      <t xml:space="preserve">を明記</t>
    </r>
  </si>
  <si>
    <t xml:space="preserve">OABASEV1_3d12c3b3cbe5bc1a</t>
  </si>
  <si>
    <t xml:space="preserve">W000025226</t>
  </si>
  <si>
    <t xml:space="preserve">W6949343916</t>
  </si>
  <si>
    <t xml:space="preserve">Du côté de chez Swann</t>
  </si>
  <si>
    <t xml:space="preserve">Marcel Proust</t>
  </si>
  <si>
    <t xml:space="preserve">Du côté de chez Swann de Marcel Proust</t>
  </si>
  <si>
    <t xml:space="preserve">1974-01-01</t>
  </si>
  <si>
    <t xml:space="preserve">OABASEV1_13aba39e17ce90d5</t>
  </si>
  <si>
    <t xml:space="preserve">W000014533</t>
  </si>
  <si>
    <t xml:space="preserve">W1531705365</t>
  </si>
  <si>
    <t xml:space="preserve">The "Obscure truth" in Joseph Conrad's Heart of darkness and Lord Jim</t>
  </si>
  <si>
    <t xml:space="preserve">1975-01-01</t>
  </si>
  <si>
    <t xml:space="preserve">OABASEV1_aab98e3da0bd5a0e</t>
  </si>
  <si>
    <t xml:space="preserve">W000014830</t>
  </si>
  <si>
    <t xml:space="preserve">W629335683</t>
  </si>
  <si>
    <t xml:space="preserve">The awakening</t>
  </si>
  <si>
    <t xml:space="preserve">Kate Chopin</t>
  </si>
  <si>
    <t xml:space="preserve">„Przebudzenie” Kate Chopin, czyli „amerykańska Bovary”(?)</t>
  </si>
  <si>
    <t xml:space="preserve">This article deals with the question of the so-called Bovarism in The Awakening, the famous novel written by Kate Chopin. When it was first published in 1899, it was universally condemned for its alleged obscenity, just like its French predecessor. It is true, however, that unlike Flaubert’s book, The Awakening did not find itself in the dock, faced with charges of immorality, but the hostile reviews condemned the novel to many decades of obscurity. In this article, I try to return to the question of parallels between the two novels, which can be seen on many levels. Some similarities concern both male and female characters, while others are to do with specific narrative decisions and solutions. The most conspicuous example of the latter is the suicidal death of both heroines.</t>
  </si>
  <si>
    <t xml:space="preserve">2019-04-09</t>
  </si>
  <si>
    <t xml:space="preserve">https://doi.org/10.18778/1505-9057.49.13</t>
  </si>
  <si>
    <r>
      <rPr>
        <sz val="10"/>
        <rFont val="Noto Sans CJK SC"/>
        <family val="2"/>
      </rPr>
      <t xml:space="preserve">ポーランド語題「</t>
    </r>
    <r>
      <rPr>
        <sz val="10"/>
        <rFont val="Calibri"/>
        <family val="0"/>
        <charset val="1"/>
      </rPr>
      <t xml:space="preserve">Przebudzenie</t>
    </r>
    <r>
      <rPr>
        <sz val="10"/>
        <rFont val="Noto Sans CJK SC"/>
        <family val="2"/>
      </rPr>
      <t xml:space="preserve">」＝</t>
    </r>
    <r>
      <rPr>
        <sz val="10"/>
        <rFont val="Calibri"/>
        <family val="0"/>
        <charset val="1"/>
      </rPr>
      <t xml:space="preserve">The Awakening</t>
    </r>
  </si>
  <si>
    <t xml:space="preserve">OABASEV1_d01b6f3311992136</t>
  </si>
  <si>
    <t xml:space="preserve">W000031635</t>
  </si>
  <si>
    <t xml:space="preserve">W2942318672</t>
  </si>
  <si>
    <t xml:space="preserve">Brave New World</t>
  </si>
  <si>
    <t xml:space="preserve">Aldous Huxley</t>
  </si>
  <si>
    <t xml:space="preserve">Ensoñación de la Modernidad: Autodestrucción de un mundo feliz ¿Existe alternativa?</t>
  </si>
  <si>
    <t xml:space="preserve">It is important to question the modern Happiness and interrogate the Development project. Through a Brave New World by Aldous Huxley, this text wants to highlight the question of the meaning of human existence. To understand this, three moments arise: first, the need to question the Development project; second, the emphasis on self-destruction of humanity; and third, the demarcation of good living as an alternative to modern happiness.</t>
  </si>
  <si>
    <t xml:space="preserve">2015.0</t>
  </si>
  <si>
    <t xml:space="preserve">2015-12-07</t>
  </si>
  <si>
    <t xml:space="preserve">OABASEV1_93f68fcd50b5d04f</t>
  </si>
  <si>
    <t xml:space="preserve">W000023890</t>
  </si>
  <si>
    <t xml:space="preserve">W7133397886</t>
  </si>
  <si>
    <t xml:space="preserve">Queer Privilege: Telepathy and Sadomasochism in the Nineteenth Century Novel</t>
  </si>
  <si>
    <t xml:space="preserve">In nineteenth century novels, depictions of mind-to-mind communication or telepathy are often structured in terms of dominance and submission. This recurring interpersonal and intersubjective dynamic is magnified and typified in Jane Eyre by Charlotte Bronte, Wuthering Heights by Emily Bronte, and The Lifted Veil by George Eliot where telepathy and sadomasochism are depicted as co-constitutive. In these novels, this conceptual dyad, what Queer Privilege refers to as “telepathic sadomasochism”, registers a non-normative or queer subjectivity predicated on the notion that erotic investment in the other alters and empowers the self in ways that transgress categories of identity like gender, class, and sexuality. In Jane Eyre, Wuthering Heights, and The Lifted Veil, this non-normative register of thought, erotics, and being is characterized as a superiority of power and access; in Henry James’ terms, telepathic sadomasochism is a “queer privilege”. Therefore, telepathic sadomasochism is positioned as a sense of empowerment in and through marginalization, a kind of ideal that supersedes the normative. Queer Privilege exploits telepathic sadomasochism as an intertextual site wherein three key Victorian authors hold a discussion regarding the ethics of a sexuality and subjectivity predicated on the eroticization of power and the queering of the self.</t>
  </si>
  <si>
    <r>
      <rPr>
        <sz val="10"/>
        <rFont val="Noto Sans CJK SC"/>
        <family val="2"/>
      </rPr>
      <t xml:space="preserve">著者名ターゲット：</t>
    </r>
    <r>
      <rPr>
        <sz val="10"/>
        <rFont val="Calibri"/>
        <family val="0"/>
        <charset val="1"/>
      </rPr>
      <t xml:space="preserve">Henry James</t>
    </r>
    <r>
      <rPr>
        <sz val="10"/>
        <rFont val="Noto Sans CJK SC"/>
        <family val="2"/>
      </rPr>
      <t xml:space="preserve">の語句 </t>
    </r>
    <r>
      <rPr>
        <sz val="10"/>
        <rFont val="Calibri"/>
        <family val="0"/>
        <charset val="1"/>
      </rPr>
      <t xml:space="preserve">"queer privilege" </t>
    </r>
    <r>
      <rPr>
        <sz val="10"/>
        <rFont val="Noto Sans CJK SC"/>
        <family val="2"/>
      </rPr>
      <t xml:space="preserve">を引用</t>
    </r>
  </si>
  <si>
    <t xml:space="preserve">OABASEV1_7533e1a5d9476b71</t>
  </si>
  <si>
    <t xml:space="preserve">W2790983486</t>
  </si>
  <si>
    <t xml:space="preserve">Caesar's Jewish policy according to Flavius Josephus ("Jewish Antiquities" XIV, 190-222)</t>
  </si>
  <si>
    <t xml:space="preserve">2015-01-01</t>
  </si>
  <si>
    <t xml:space="preserve">OABASEV1_9abeda1d0b2809e5</t>
  </si>
  <si>
    <t xml:space="preserve">W7064695983</t>
  </si>
  <si>
    <t xml:space="preserve">The wide net</t>
  </si>
  <si>
    <t xml:space="preserve">Eudora Welty</t>
  </si>
  <si>
    <t xml:space="preserve">A Square of Marble and Stone: The Themes of Separateness, the Journey, and Sense of Place in Eudora Welty's The Wide Net</t>
  </si>
  <si>
    <t xml:space="preserve">1988.0</t>
  </si>
  <si>
    <t xml:space="preserve">1988-01-01</t>
  </si>
  <si>
    <t xml:space="preserve">OABASEV1_0fc27c0d87e16645</t>
  </si>
  <si>
    <t xml:space="preserve">W000001248</t>
  </si>
  <si>
    <t xml:space="preserve">W1836684602</t>
  </si>
  <si>
    <t xml:space="preserve">Walt Whitman's Split Poetic Personalities</t>
  </si>
  <si>
    <t xml:space="preserve">Walt Whitman fills his poetry with contradictions and inconsistencies as he explores different solutions to complex spiritual, social, and psychological problems. Such contradictions often take the form of competing first-person characters, each with a different set of beliefs, powers, and experiences. In the 1855 first edition of Leaves of Grass especially, there is a chaotic tension between other and self, unity and difference, transcendence and isolation, knowledge and confusion, reality and façade, and power and weakness. These tensions play out in the realm of the “I” as the narrator regularly shifts his form and his relationship to the world around him.\nTwentieth-century critics have read Whitman from a variety of angles. Most readings identify a division of competing projects or voices, but the nature of the division depends on the particular critical lens at work. In particular, this essay examines D. H. Lawrence, Malcolm Cowley, Harold Bloom, and Vivian Pollak as readers of Whitman. Each of them finds it necessary to reduce the complexity of the poetry, but each also contributes an important critical analysis that expands the discussion of Whitman’s critical tensions and their purposes. Ultimately, I argue that Whitman’s division of contradictory first person voices offers his poetry a unique rhetorical force.</t>
  </si>
  <si>
    <t xml:space="preserve">2009-07-23</t>
  </si>
  <si>
    <r>
      <rPr>
        <sz val="10"/>
        <rFont val="Noto Sans CJK SC"/>
        <family val="2"/>
      </rPr>
      <t xml:space="preserve">著者名ターゲット：</t>
    </r>
    <r>
      <rPr>
        <sz val="10"/>
        <rFont val="Calibri"/>
        <family val="0"/>
        <charset val="1"/>
      </rPr>
      <t xml:space="preserve">Whitman</t>
    </r>
    <r>
      <rPr>
        <sz val="10"/>
        <rFont val="Noto Sans CJK SC"/>
        <family val="2"/>
      </rPr>
      <t xml:space="preserve">批評家としての</t>
    </r>
    <r>
      <rPr>
        <sz val="10"/>
        <rFont val="Calibri"/>
        <family val="0"/>
        <charset val="1"/>
      </rPr>
      <t xml:space="preserve">D. H. Lawrence</t>
    </r>
    <r>
      <rPr>
        <sz val="10"/>
        <rFont val="Noto Sans CJK SC"/>
        <family val="2"/>
      </rPr>
      <t xml:space="preserve">の論を検討</t>
    </r>
  </si>
  <si>
    <t xml:space="preserve">OABASEV1_d4c08f00e9269774</t>
  </si>
  <si>
    <t xml:space="preserve">W626860930</t>
  </si>
  <si>
    <t xml:space="preserve">OpenAlex R2+A1 Blind Human Audit — R2A1A05</t>
  </si>
  <si>
    <t xml:space="preserve">Dom Casmurro</t>
  </si>
  <si>
    <t xml:space="preserve">Machado de Assis</t>
  </si>
  <si>
    <t xml:space="preserve">QUESTÕES DE TRADUÇÃO, LITERATURA E IDEOLOGIA</t>
  </si>
  <si>
    <t xml:space="preserve">This article analyses extracts from Dom Casmurro (1899), by Machado de Assis, translated into English by Helen Caldwell in 1953. The study aims at revealing translation as a transformation process, mediated by a political-ideological being: the translator/interpreter.</t>
  </si>
  <si>
    <t xml:space="preserve">2009-01-01</t>
  </si>
  <si>
    <t xml:space="preserve">OABASEV1_c27aaace64b72282</t>
  </si>
  <si>
    <t xml:space="preserve">W000000016</t>
  </si>
  <si>
    <t xml:space="preserve">W1480152135</t>
  </si>
  <si>
    <t xml:space="preserve">The torrents of spring</t>
  </si>
  <si>
    <t xml:space="preserve">Ernest Hemingway</t>
  </si>
  <si>
    <t xml:space="preserve">The Search for an American Audience: Marketing Ernest Hemingway, 1925-1930</t>
  </si>
  <si>
    <t xml:space="preserve">Tracks Hemingway’s early relationship with publishers Boni and Liveright and Charles Scribner’s Sons. Provides a detailed history of Scribner’s advertising efforts focused on The Torrents of Spring, The Sun Also Rises, Men Without Women, A Farewell to Arms and a reissued collection of In Our Time. Fenstermaker argues for the extensive promotion of Hemingway’s work as evidence of the publisher’s confidence in the young writer and his potential for popularity with an American audience.</t>
  </si>
  <si>
    <t xml:space="preserve">OABASEV1_996a26e6f3491a94</t>
  </si>
  <si>
    <t xml:space="preserve">W000023715</t>
  </si>
  <si>
    <t xml:space="preserve">W3027359586</t>
  </si>
  <si>
    <t xml:space="preserve">The Milagro Beanfield War by John Nichols</t>
  </si>
  <si>
    <t xml:space="preserve">Reviews 249 speaker’s town. The life of the town is gone in the absent young. And the coyotes wait to move in when “the last / foolishness” is stifled. Milton appears to be striving in these poems for a unification of the vision of two cultures; and I, for one, hope he achieves it as Coyote continues to cry in his future creations. GLENN E. SELANDER, Boise State University The Milagro Beanfield War. By John Nichols. (New York: Holt, Rhinehart and Winston, 1974, 445 pp., $8.95.) John Nichols’ The Milagro Beanfield War is a big novel, in scope, in theme, in sheer bulk. Anyone reading Mr. Nichols’ first novel, The Sterile Cuckoo, a story of two not so star-crossed lovers set in a context of North­eastern private college life, would have been hard put to anticipate this, his third novel, a sometimes violent, sometimes poignant presentation of social injustice in the Southwest. What does unite the two novels are the author’s flair for grotesque humor and his advocacy of love as a redeeming force in human relations. Like Frank Norris’ The Octopus and John Steinbeck’s The Grapes of Wrath, The Milagro Beanfield War has a basis in actual events, in this instance the struggle in the 1960’s and ’70’s by Hispano-Americans in northern New Mexico to restore ancestral land grants taken from them by the Anglos. There are vital similarities among these novels: the importance of the land both as a means of sustenance and as a condition for establishing a social community, the deterministic power of economic interests to erode and destroy that community and misuse that land, the sense that life is a confused, often desperate struggle that is made bearable by the capacity of those who live it to snatch moments of happiness and to hold on to a dream that something better is possible. In Mr. Nichols’ novel land is important, but the most precious natural substance is water. He who controls water controls life; to realize this fact is to recognize a basic reality of the West. For Steinbeck’s Okies water was a gift that Nature could withhold, but they lived in a marginal Western situation. In the real West water is a constant of a given quantity that the inhabitants have had to learn to conserve and use. Thus Mr. Nichols can attach great actual and symbolic significance to his hero’s assertion of his traditional water rights. The dynamics of the legal struggles of the upper and lower Colorado River states during the last fifty years are not unlike the political dynamics of this novel. 250 Western American Literature This aspect of the novel establishes for it a basic seriousness that helps give stability to a presentation that is episodic, constantly shifting and, like the American humor of the frontier West, may begin with a common reality, but gradually distorts that reality until the reader is left contemplat­ing an absurdity that is both outrageous and amusing. If this is the situation in which these characters must exist, they are compensated by the gifts of endurance, of an intuitive sense of the appropriate action, an ability to make do with what they have, an affinity for the environment in which they live. They have the qualities of the most important protective spirit in the pantheon which one of the characters describes, the Coyote-Angel. The hope is that they too will not just endure, they will prevail. I have the impression that in The Milagro Beanfield War John Nichols has found himself as an author. It bodes well for his future. MOTLEY DEAKIN, University of Florida The Middle Western Farm Novel in the Twentieth Cenutry. By Roy W. Meyer. (Lincoln, University of Nebraska Press, 1965. 265 pages. $2.45.) The appearance in paperback of Roy W. Meyer’s study of the MidWestern farm novel should help put it where it is most needed, in the college classroom. The journey through a college level U.S. Lit. course, from the intellectual East to the virile West, seldom includes more than three whistle-stops in the barn-yards of the Mid-West; LaCrosse, Northfield and Red...</t>
  </si>
  <si>
    <t xml:space="preserve">https://doi.org/10.1353/wal.1975.0025</t>
  </si>
  <si>
    <r>
      <rPr>
        <sz val="10"/>
        <rFont val="Noto Sans CJK SC"/>
        <family val="2"/>
      </rPr>
      <t xml:space="preserve">著者名ターゲット：</t>
    </r>
    <r>
      <rPr>
        <sz val="10"/>
        <rFont val="Calibri"/>
        <family val="0"/>
        <charset val="1"/>
      </rPr>
      <t xml:space="preserve">The Grapes of Wrath </t>
    </r>
    <r>
      <rPr>
        <sz val="10"/>
        <rFont val="Noto Sans CJK SC"/>
        <family val="2"/>
      </rPr>
      <t xml:space="preserve">への言及</t>
    </r>
  </si>
  <si>
    <t xml:space="preserve">OABASEV1_b08ec09455e4f30f</t>
  </si>
  <si>
    <t xml:space="preserve">W2761630357</t>
  </si>
  <si>
    <t xml:space="preserve">Ideas of life and their moral force in the novels of Henry James</t>
  </si>
  <si>
    <t xml:space="preserve">1981.0</t>
  </si>
  <si>
    <t xml:space="preserve">1981-01-01</t>
  </si>
  <si>
    <t xml:space="preserve">https://doi.org/10.48730/ejzw-v127</t>
  </si>
  <si>
    <t xml:space="preserve">OABASEV1_16f600303652f754</t>
  </si>
  <si>
    <t xml:space="preserve">W853694226</t>
  </si>
  <si>
    <t xml:space="preserve">George Monteiro (ed.), The Correspondence of Henry James and Henry Adams, 1877–1914 (Baton Rouge and London: Louisiana State University Press, 1992, $20). Pp. 107. ISBN 0 8071 1729 3. - Dietmar Schloss, Culture and Criticism in Henry James (Tübingen: Gunter Narr Verlag, 1992). Pp. 140. ISBN 3 8233 5022 6.</t>
  </si>
  <si>
    <t xml:space="preserve">George Monteiro (ed.), The Correspondence of Henry James and Henry Adams, 1877–1914 (Baton Rouge and London: Louisiana State University Press, 1992, $20). Pp. 107. ISBN 0 8071 1729 3. - Dietmar Schloss, Culture and Criticism in Henry James (Tübingen: Gunter Narr Verlag, 1992). Pp. 140. ISBN 3 8233 5022 6. - Volume 28 Issue 1</t>
  </si>
  <si>
    <t xml:space="preserve">1994-04-01</t>
  </si>
  <si>
    <t xml:space="preserve">https://doi.org/10.1017/s0021875800026621</t>
  </si>
  <si>
    <t xml:space="preserve">OABASEV1_0fe0bcf27286f68e</t>
  </si>
  <si>
    <t xml:space="preserve">W2059835985</t>
  </si>
  <si>
    <t xml:space="preserve">Vein of galen malformation: The role of the radiologist</t>
  </si>
  <si>
    <t xml:space="preserve">2010-03-04</t>
  </si>
  <si>
    <t xml:space="preserve">https://doi.org/10.1594/ecr2010/c-2875</t>
  </si>
  <si>
    <r>
      <rPr>
        <sz val="10"/>
        <rFont val="Calibri"/>
        <family val="0"/>
        <charset val="1"/>
      </rPr>
      <t xml:space="preserve">"Vein of galen malformation"</t>
    </r>
    <r>
      <rPr>
        <sz val="10"/>
        <rFont val="Noto Sans CJK SC"/>
        <family val="2"/>
      </rPr>
      <t xml:space="preserve">（解剖学上の名祖）</t>
    </r>
  </si>
  <si>
    <t xml:space="preserve">OABASEV1_ba78c5dc0c125a0c</t>
  </si>
  <si>
    <t xml:space="preserve">W6943623273</t>
  </si>
  <si>
    <t xml:space="preserve">Henry James (review)</t>
  </si>
  <si>
    <t xml:space="preserve">1991-09-01</t>
  </si>
  <si>
    <t xml:space="preserve">https://doi.org/10.1353/hjr.2010.0195</t>
  </si>
  <si>
    <r>
      <rPr>
        <sz val="10"/>
        <rFont val="Noto Sans CJK SC"/>
        <family val="2"/>
      </rPr>
      <t xml:space="preserve">著者名ターゲット：題名「</t>
    </r>
    <r>
      <rPr>
        <sz val="10"/>
        <rFont val="Calibri"/>
        <family val="0"/>
        <charset val="1"/>
      </rPr>
      <t xml:space="preserve">Henry James (review)</t>
    </r>
    <r>
      <rPr>
        <sz val="10"/>
        <rFont val="Noto Sans CJK SC"/>
        <family val="2"/>
      </rPr>
      <t xml:space="preserve">」のみ、抄録なし</t>
    </r>
  </si>
  <si>
    <t xml:space="preserve">OABASEV1_8d41b408fd82b290</t>
  </si>
  <si>
    <t xml:space="preserve">W2042563052</t>
  </si>
  <si>
    <t xml:space="preserve">Parties</t>
  </si>
  <si>
    <t xml:space="preserve">Carl Van Vechten</t>
  </si>
  <si>
    <t xml:space="preserve">Party-Going in Fitzgerald and His Contemporaries</t>
  </si>
  <si>
    <t xml:space="preserve">Abstract This essay examines the visual techniques that Fitzgerald applies in the party-scenes in his fiction. It explores the tension between spectatorship and participation throughout and argues that he draws on the resources of the cinema in his fine control of perspective, close-up, and long shots—as well as montage. Although he acquired the reputation of the chronicler of the new generation, the essay argues that Fitzgerald constantly brought out the ironies of parties, particularly their fleeting and theatrical aspects, especially their dependence on material display. Comparisons are drawn with Zelda Fitzgerald's party scenes and with contemporaries such as Carl Van Vechten in order to bring out Fitzgerald's implicitly critical dramatization of sexual motifs.</t>
  </si>
  <si>
    <t xml:space="preserve">2015-10-01</t>
  </si>
  <si>
    <t xml:space="preserve">https://doi.org/10.5325/fscotfitzrevi.13.1.0163</t>
  </si>
  <si>
    <r>
      <rPr>
        <sz val="10"/>
        <rFont val="Calibri"/>
        <family val="0"/>
        <charset val="1"/>
      </rPr>
      <t xml:space="preserve">Van Vechten</t>
    </r>
    <r>
      <rPr>
        <sz val="10"/>
        <rFont val="Noto Sans CJK SC"/>
        <family val="2"/>
      </rPr>
      <t xml:space="preserve">のパーティ場面との比較と述べるのみ。作品「</t>
    </r>
    <r>
      <rPr>
        <sz val="10"/>
        <rFont val="Calibri"/>
        <family val="0"/>
        <charset val="1"/>
      </rPr>
      <t xml:space="preserve">Parties</t>
    </r>
    <r>
      <rPr>
        <sz val="10"/>
        <rFont val="Noto Sans CJK SC"/>
        <family val="2"/>
      </rPr>
      <t xml:space="preserve">」は未特定（他作品の可能性）</t>
    </r>
  </si>
  <si>
    <t xml:space="preserve">OABASEV1_a3a7e042e9d345d9</t>
  </si>
  <si>
    <t xml:space="preserve">W000018641</t>
  </si>
  <si>
    <t xml:space="preserve">W2281192671</t>
  </si>
  <si>
    <t xml:space="preserve">Interpretation of Black Images in Heart of Darkness</t>
  </si>
  <si>
    <t xml:space="preserve">Heart of Darkness, an immortal masterpiece by British modern novelist Joseph Conrad, sharply criticized the behaviors of European colonists, and expressed the commiseration towards Africans' nonhuman life experiences. The colonists plundered Africa people from economy to culture, during which the indigenous black with the same root and family were differentiated into kinds of people. This paper surveys images change of the black being enslaved by the post colonialism from the perspective of image studies.</t>
  </si>
  <si>
    <t xml:space="preserve">OABASEV1_54d92a43a796f3ca</t>
  </si>
  <si>
    <t xml:space="preserve">W000017583</t>
  </si>
  <si>
    <t xml:space="preserve">W2360205645</t>
  </si>
  <si>
    <t xml:space="preserve">Madre</t>
  </si>
  <si>
    <t xml:space="preserve">Grazia Deledda</t>
  </si>
  <si>
    <t xml:space="preserve">Grazia Deledda'sLa Madreand the Problem of Tragedy</t>
  </si>
  <si>
    <t xml:space="preserve">(1968). Grazia Deledda's La Madre and the Problem of Tragedy. Symposium: A Quarterly Journal in Modern Literatures: Vol. 22, No. 1, pp. 62-71.</t>
  </si>
  <si>
    <t xml:space="preserve">1968.0</t>
  </si>
  <si>
    <t xml:space="preserve">1968-03-01</t>
  </si>
  <si>
    <t xml:space="preserve">https://doi.org/10.1080/00397709.1968.10732986</t>
  </si>
  <si>
    <r>
      <rPr>
        <sz val="10"/>
        <rFont val="Calibri"/>
        <family val="0"/>
        <charset val="1"/>
      </rPr>
      <t xml:space="preserve">La Madre</t>
    </r>
    <r>
      <rPr>
        <sz val="10"/>
        <rFont val="Noto Sans CJK SC"/>
        <family val="2"/>
      </rPr>
      <t xml:space="preserve">＝</t>
    </r>
    <r>
      <rPr>
        <sz val="10"/>
        <rFont val="Calibri"/>
        <family val="0"/>
        <charset val="1"/>
      </rPr>
      <t xml:space="preserve">Madre</t>
    </r>
  </si>
  <si>
    <t xml:space="preserve">OABASEV1_738480fb18182e2b</t>
  </si>
  <si>
    <t xml:space="preserve">W000003575</t>
  </si>
  <si>
    <t xml:space="preserve">W2080140783</t>
  </si>
  <si>
    <t xml:space="preserve">White Fang</t>
  </si>
  <si>
    <t xml:space="preserve">A Case for Interdisciplinary Studies in Literary Analysis: The Scientific Influences in the Writing of Jack London</t>
  </si>
  <si>
    <t xml:space="preserve">For the purpose of this assignment, several of Jack London’s most famous novels, Call of the Wild, Sea Wolf, and White Fang will be critically analyzed through the lens of those scientific influences which strongly influenced London, and subsequently his writing. This analysis will clearly demonstrate how it is absolutely necessary to have a complete understanding of the author’s world, not just pieces of it, when conducting an analysis of this nature. A lack of understanding will not just result in missing out on parts of the story, but instead produce an entirely incorrect interpretation of the story as a whole. After a thorough analysis of these three novels, the case for interdisciplinary studies will no longer remain an argument of what “should” be done, but rather what “must” be done in the literary community.</t>
  </si>
  <si>
    <t xml:space="preserve">2014-04-24</t>
  </si>
  <si>
    <t xml:space="preserve">OABASEV1_a0e731051ce4d097</t>
  </si>
  <si>
    <t xml:space="preserve">W000031992</t>
  </si>
  <si>
    <t xml:space="preserve">W2735608809</t>
  </si>
  <si>
    <t xml:space="preserve">Hans Christian Andersen</t>
  </si>
  <si>
    <t xml:space="preserve">Elisabeth Jerichau-Baumann, Constantinople 1869–70: The Harem</t>
  </si>
  <si>
    <t xml:space="preserve">Abstract Polish-born, trained in Germany, with a studio in Rome and a second home in Denmark due to her marriage to sculptor and academician Adolf Jerichau, Elisabeth Jerichau-Baumann (1818–81) was a true nineteenth-century cosmopolite. She painted Europe’s elite and counted Princess Alexandra, Hans Christian Andersen, Henrik Ibsen, the Grimm brothers, and Charles Dickens among her well-wishers. She was invited by Queen Victoria to Buckingham Palace, and her portrait of Alexandra remains in the Royal Collection to this day. Her travelogue Brogede Rejsebilleder (Motley Images of Travel;1881) is centered around two journeys to “the Orient,” undertaken in 1869–70 and 1874–75. While these journeys to Constantinople and Smyrna constitute almost half of the travelogue, other chapters describe journeys to Athens, Cairo, St. Petersburg, Capri, and the Alps. The present chapters, translated by David Possen and introduced by Julia Kuehn, are the second part of Jerichau-Baumann’s record of the first of two journeys to Constantinople, in 1869–70. The painter vividly describes a visit to a Constantinople harem. Jerichau-Baumann’s temporary friendship with the young Princess Nazlı Hanım would lead to a number of paintings by Jerichau-Baumann now considered emblematic of and unique in (female) Orientalist art. Nazlı became a well-known literary salon hostess and arts supporter in Istanbul, Paris, Cairo, and Tunis, as well as an important figure in the Ottoman Empire’s political reform, modernization, and cross-cultural endeavors.</t>
  </si>
  <si>
    <t xml:space="preserve">2024-09-09</t>
  </si>
  <si>
    <t xml:space="preserve">https://doi.org/10.5325/victinstj.51.2024.0232</t>
  </si>
  <si>
    <r>
      <rPr>
        <sz val="10"/>
        <rFont val="Noto Sans CJK SC"/>
        <family val="2"/>
      </rPr>
      <t xml:space="preserve">著者名ターゲット：画家の支援者として</t>
    </r>
    <r>
      <rPr>
        <sz val="10"/>
        <rFont val="Calibri"/>
        <family val="0"/>
        <charset val="1"/>
      </rPr>
      <t xml:space="preserve">Andersen</t>
    </r>
    <r>
      <rPr>
        <sz val="10"/>
        <rFont val="Noto Sans CJK SC"/>
        <family val="2"/>
      </rPr>
      <t xml:space="preserve">個人名が挙がるのみ。作品・文筆への言及なし</t>
    </r>
  </si>
  <si>
    <t xml:space="preserve">OABASEV1_61e4a079f0c91f1d</t>
  </si>
  <si>
    <t xml:space="preserve">W000013400</t>
  </si>
  <si>
    <t xml:space="preserve">W4402359435</t>
  </si>
  <si>
    <t xml:space="preserve">Simply Joyce by Margot Norris</t>
  </si>
  <si>
    <t xml:space="preserve">Reviewed by: Simply Joyce by Margot Norris Morris Beja (bio) SIMPLY JOYCE Margot Norris, New York: Simply Charly, 2016. 131xix + pp. $7.95. We have long known how indebted we are to Margot Norris’s studies of James Joyce. She has increased our indebtedness by writing more books about Joyce in her retirement than most Joyceans in their careers. In Simply Joyce, the debt is especially owed by nonJoyceans, non-literary-specialists—the “virgin” readers she addressed in her previous book, Virgin and Veteran Readings of “Ulysses.”1 But “veteran” readers will profit from Simply Joyce too, as this veteran can testify. The series in which the volume appears advertises itself as offering “brief but authoritative introductions to the world’s most influential people”—from Simply Austen to Simply Woolf, and along the way, for example, Simply Chaplin, Simply Freud, Simply Hegel, Simply Heidegger (honest), and even Simply Wittgenstein (ix, xi). I cannot vouch for all those other volumes, but here “simply” does not in any way denote “simplify.” Norris’s aim is not to put “aside the remarkable complexity that makes his themes and language so aesthetically and intellectually rich, but to make his unique work accessible” (xiii). And she does mean “unique”: one of the chief ways she accomplishes her aim is through her sheer passion for Joyce’s “virtually unprecedented literary universe” (xix). Much of Norris’s emphasis throughout is, inevitably, on Joyce’s language and literary style (or styles). There are full chapters on Dubliners, A Portrait, Ulysses, and Finnegans Wake, but first she pays brief attention in a preface to the epiphanies; the poems (and how their lyricism looks forward to important elements in Ulysses and the Wake); and Exiles (and how its portrayals prefigure the complex relationships among Leopold Bloom, Molly Bloom, and Blazes Boylan). A short introduction of eight pages is on Joyce’s “Life and Career.” The chapter on Dubliners opens with a reminder about the concept of epiphany and its centrality to an understanding of the technique of each story. Norris then treats all the stories in sequence. For each, she presents possible interpretations—some potentially controversial—without pushing them further than she can or should go. In regard to the first story, “The Sisters,” for example, she points to “various innuendoes” that “suggest that the priest may have molested the boy in some way” but uses them primarily to show that the reader must confront “a dilemma of moral judgment, trying to determine how to feel about the relationship as the narration represents it” (10-11). Norris is especially good at bringing out the connections throughout [End Page 127] the volume, and especially between juxtaposed stories, so that, “[p]laced next to Eveline Hill’s story, Jimmy Doyle’s enlarges the diversity of Dubliners by widening the broader scope of social and economic class, without losing sight of the challenges and difficulties that can afflict the city’s young people at critical moments in their lives, whatever their situations” (16). In Joyce’s next story, “Two Gallants,” “[o]nce again, money will be in the background and yet at the center of a story at the same time,” even as “the characters of Corley and Lenehan belong to the opposite end of the social and economic spectrum from the world of Jimmy Doyle” (16). And, later, she shows that “a closer look reveals that,” with “Ivy Day,” “A Mother,” and “Grace,” “the theme buried under the actions and discussions is once again money” (25). Norris stresses that “[t]he lives of Dubliners are complicated, and so are the moral judgments confronting” the book’s readers, and that Joyce—as in “The Boarding House”—frequently presents “a challenge to the reader, and this challenge is often ethical, forcing the reader to figure out how to arrive at a fair judgment of the rights and wrongs of a complicated social situation” (18). Similarly, at the end of “Counterparts,” “we are obliged to both judge and question our judgment, to feel sympathy and disgust simultaneously for the same individual, while conceding that unless we have endured similar experiences, we should perhaps not feel entitled to judge—all the while knowing that we must...</t>
  </si>
  <si>
    <t xml:space="preserve">https://doi.org/10.1353/jjq.2015.0061</t>
  </si>
  <si>
    <r>
      <rPr>
        <sz val="10"/>
        <rFont val="Calibri"/>
        <family val="0"/>
        <charset val="1"/>
      </rPr>
      <t xml:space="preserve">Norris</t>
    </r>
    <r>
      <rPr>
        <sz val="10"/>
        <rFont val="Noto Sans CJK SC"/>
        <family val="2"/>
      </rPr>
      <t xml:space="preserve">の前著 </t>
    </r>
    <r>
      <rPr>
        <sz val="10"/>
        <rFont val="Calibri"/>
        <family val="0"/>
        <charset val="1"/>
      </rPr>
      <t xml:space="preserve">Virgin and Veteran Readings of "Ulysses" </t>
    </r>
    <r>
      <rPr>
        <sz val="10"/>
        <rFont val="Noto Sans CJK SC"/>
        <family val="2"/>
      </rPr>
      <t xml:space="preserve">への言及</t>
    </r>
  </si>
  <si>
    <t xml:space="preserve">OABASEV1_db95b16805d76cfc</t>
  </si>
  <si>
    <t xml:space="preserve">W2778017191</t>
  </si>
  <si>
    <t xml:space="preserve">An 'Ungentle' Punk: Revisiting Charles Lamb's Bookishness</t>
  </si>
  <si>
    <t xml:space="preserve">OABASEV1_ef0e78a179519e64</t>
  </si>
  <si>
    <t xml:space="preserve">W3215970666</t>
  </si>
  <si>
    <t xml:space="preserve">The novels of Jane Austen</t>
  </si>
  <si>
    <t xml:space="preserve">Jane Austen</t>
  </si>
  <si>
    <t xml:space="preserve">romance</t>
  </si>
  <si>
    <t xml:space="preserve">Writers of a best-selling category romance imprint share a common tendency to decrease their deployment of unique words over the span of their novels—a phenomenon of ‘vocabulary decay’. This tendency cannot be found in the novels of Jane Austen, suggesting this drop is not intrinsic to the romance genre itself, and is unlikely to have any true narrative purpose. A study of Charles Dickens shows that vocabulary decay extends beyond the romance genre. Closer examination reveals vocabulary decay is a result of progressive amounts of linguistic chunking—due to author fatigue or a desire to produce a more readable narrative. 1</t>
  </si>
  <si>
    <t xml:space="preserve">2015-11-03</t>
  </si>
  <si>
    <r>
      <rPr>
        <sz val="10"/>
        <rFont val="Calibri"/>
        <family val="0"/>
        <charset val="1"/>
      </rPr>
      <t xml:space="preserve">"the novels of Jane Austen" </t>
    </r>
    <r>
      <rPr>
        <sz val="10"/>
        <rFont val="Noto Sans CJK SC"/>
        <family val="2"/>
      </rPr>
      <t xml:space="preserve">を語彙分析の対象として参照</t>
    </r>
  </si>
  <si>
    <t xml:space="preserve">OABASEV1_9d40a716fec4f806</t>
  </si>
  <si>
    <t xml:space="preserve">W000020009</t>
  </si>
  <si>
    <t xml:space="preserve">W7096205946</t>
  </si>
  <si>
    <t xml:space="preserve">Monkey</t>
  </si>
  <si>
    <r>
      <rPr>
        <sz val="10"/>
        <rFont val="Noto Sans CJK SC"/>
        <family val="2"/>
      </rPr>
      <t xml:space="preserve">西遊眞詮 </t>
    </r>
    <r>
      <rPr>
        <sz val="10"/>
        <rFont val="Calibri"/>
        <family val="0"/>
        <charset val="1"/>
      </rPr>
      <t xml:space="preserve">: [</t>
    </r>
    <r>
      <rPr>
        <sz val="10"/>
        <rFont val="Noto Sans CJK SC"/>
        <family val="2"/>
      </rPr>
      <t xml:space="preserve">一百回 </t>
    </r>
    <r>
      <rPr>
        <sz val="10"/>
        <rFont val="Calibri"/>
        <family val="0"/>
        <charset val="1"/>
      </rPr>
      <t xml:space="preserve">/ </t>
    </r>
    <r>
      <rPr>
        <sz val="10"/>
        <rFont val="Noto Sans CJK SC"/>
        <family val="2"/>
      </rPr>
      <t xml:space="preserve">陳士斌詮解</t>
    </r>
    <r>
      <rPr>
        <sz val="10"/>
        <rFont val="Calibri"/>
        <family val="0"/>
        <charset val="1"/>
      </rPr>
      <t xml:space="preserve">] [volume 6]</t>
    </r>
  </si>
  <si>
    <t xml:space="preserve">https://doi.org/10.25549/crbm-ouc113007339</t>
  </si>
  <si>
    <r>
      <rPr>
        <sz val="10"/>
        <rFont val="Noto Sans CJK SC"/>
        <family val="2"/>
      </rPr>
      <t xml:space="preserve">「</t>
    </r>
    <r>
      <rPr>
        <sz val="10"/>
        <rFont val="Calibri"/>
        <family val="0"/>
        <charset val="1"/>
      </rPr>
      <t xml:space="preserve">Monkey</t>
    </r>
    <r>
      <rPr>
        <sz val="10"/>
        <rFont val="Noto Sans CJK SC"/>
        <family val="2"/>
      </rPr>
      <t xml:space="preserve">」は</t>
    </r>
    <r>
      <rPr>
        <sz val="10"/>
        <rFont val="Calibri"/>
        <family val="0"/>
        <charset val="1"/>
      </rPr>
      <t xml:space="preserve">Waley</t>
    </r>
    <r>
      <rPr>
        <sz val="10"/>
        <rFont val="Noto Sans CJK SC"/>
        <family val="2"/>
      </rPr>
      <t xml:space="preserve">訳題。本レコードは西遊記の原典注釈版（同一作品）</t>
    </r>
  </si>
  <si>
    <t xml:space="preserve">OABASEV1_2a0758f0c55f2717</t>
  </si>
  <si>
    <t xml:space="preserve">W000004560</t>
  </si>
  <si>
    <t xml:space="preserve">W7104285214</t>
  </si>
  <si>
    <t xml:space="preserve">ΓΑΛΗΝΟΥ ΠΕΡΙ ΚΥΟΥΜΕΝΩΝ ΔΙΑΠΛΑΣΕΩΣ / GALEN ÜBER DIE AUSFORMUNG DER KEIMLINGE</t>
  </si>
  <si>
    <t xml:space="preserve">2001-12-31</t>
  </si>
  <si>
    <t xml:space="preserve">https://doi.org/10.1524/9783050080413.51</t>
  </si>
  <si>
    <r>
      <rPr>
        <sz val="10"/>
        <rFont val="Noto Sans CJK SC"/>
        <family val="2"/>
      </rPr>
      <t xml:space="preserve">著者名ターゲット：</t>
    </r>
    <r>
      <rPr>
        <sz val="10"/>
        <rFont val="Calibri"/>
        <family val="0"/>
        <charset val="1"/>
      </rPr>
      <t xml:space="preserve">Galen</t>
    </r>
    <r>
      <rPr>
        <sz val="10"/>
        <rFont val="Noto Sans CJK SC"/>
        <family val="2"/>
      </rPr>
      <t xml:space="preserve">の著作 </t>
    </r>
    <r>
      <rPr>
        <sz val="10"/>
        <rFont val="Calibri"/>
        <family val="0"/>
        <charset val="1"/>
      </rPr>
      <t xml:space="preserve">De foetuum formatione </t>
    </r>
    <r>
      <rPr>
        <sz val="10"/>
        <rFont val="Noto Sans CJK SC"/>
        <family val="2"/>
      </rPr>
      <t xml:space="preserve">の校訂</t>
    </r>
  </si>
  <si>
    <t xml:space="preserve">OABASEV1_920ca6ed5603c56c</t>
  </si>
  <si>
    <t xml:space="preserve">W2486605191</t>
  </si>
  <si>
    <t xml:space="preserve">The interrelationship between women physicians and community in Henry James's The Bostonians and Sarah Orne Jewett's A country doctor</t>
  </si>
  <si>
    <t xml:space="preserve">2023-03-15</t>
  </si>
  <si>
    <t xml:space="preserve">https://doi.org/10.14988/0002000541</t>
  </si>
  <si>
    <t xml:space="preserve">OABASEV1_e4df432976c3d46e</t>
  </si>
  <si>
    <t xml:space="preserve">W7207637349</t>
  </si>
  <si>
    <t xml:space="preserve">Achilles Tatius</t>
  </si>
  <si>
    <t xml:space="preserve">Aspectos de la religión en la novela griega</t>
  </si>
  <si>
    <t xml:space="preserve">After a brief reference to the Greek novel in general and a short presentation on Greek religion and interpretations of philologists whether or not the novels are religious texts, it offers a treatment of the various aspects of religion in the novels of Chariton of Aphrodisias and Achilles Tatius, whose analysis divided into three sections: the gods, manifestations of gods and religious practices.</t>
  </si>
  <si>
    <t xml:space="preserve">https://doi.org/10.20983/noesis.2014.1.4</t>
  </si>
  <si>
    <t xml:space="preserve">OABASEV1_1c419ef8a6c6e411</t>
  </si>
  <si>
    <t xml:space="preserve">W000019351</t>
  </si>
  <si>
    <t xml:space="preserve">W1690826202</t>
  </si>
  <si>
    <t xml:space="preserve">La vagabonde</t>
  </si>
  <si>
    <t xml:space="preserve">Colette</t>
  </si>
  <si>
    <r>
      <rPr>
        <sz val="10"/>
        <rFont val="Calibri"/>
        <family val="0"/>
        <charset val="1"/>
      </rPr>
      <t xml:space="preserve">[</t>
    </r>
    <r>
      <rPr>
        <sz val="10"/>
        <rFont val="Noto Sans CJK SC"/>
        <family val="2"/>
      </rPr>
      <t xml:space="preserve">학술논문</t>
    </r>
    <r>
      <rPr>
        <sz val="10"/>
        <rFont val="Calibri"/>
        <family val="0"/>
        <charset val="1"/>
      </rPr>
      <t xml:space="preserve">] </t>
    </r>
    <r>
      <rPr>
        <sz val="10"/>
        <rFont val="Noto Sans CJK SC"/>
        <family val="2"/>
      </rPr>
      <t xml:space="preserve">황금시대의 보헤미안</t>
    </r>
    <r>
      <rPr>
        <sz val="10"/>
        <rFont val="Calibri"/>
        <family val="0"/>
        <charset val="1"/>
      </rPr>
      <t xml:space="preserve">: </t>
    </r>
    <r>
      <rPr>
        <sz val="10"/>
        <rFont val="Noto Sans CJK SC"/>
        <family val="2"/>
      </rPr>
      <t xml:space="preserve">꼴레뜨의 작품에 투영된 </t>
    </r>
    <r>
      <rPr>
        <sz val="10"/>
        <rFont val="Calibri"/>
        <family val="0"/>
        <charset val="1"/>
      </rPr>
      <t xml:space="preserve">20</t>
    </r>
    <r>
      <rPr>
        <sz val="10"/>
        <rFont val="Noto Sans CJK SC"/>
        <family val="2"/>
      </rPr>
      <t xml:space="preserve">세기 초 프랑스 문화와 여성의 정체성</t>
    </r>
  </si>
  <si>
    <t xml:space="preserve">Nous voulons lire dans cette étude une partie de la culture de la Belle Epoque, en particulier, celle des femmes à travers le texte de Colette. L'image nouvelle de la femme se triomphe à l'époque où le bonheur semble revenu. Pourtant la plupart des femmes ne peuvent échapper au pouvoir social de l'homme, vivent une vie bohémienne. Colette montre minitieusement cette vie paradoxale de la femme à travers ses écrits autobiographiaues : la vie du salon, la mode, les demi-mondaines, le musical. \n Dans le texte de Colette la perte d'identité de la femme est souvent liée au corps et à la sexualité. Dans La Vagabonde, chaque fois qu'il s'agit de la pauvreté et de l'exclusion de l'héroïne ou des personnages féminins, le texte dissimule, efface leur corps. Ce n'est pas par hasard que Colette s'intéresse au corps féminin. Cela traduit son souci de ce qui est exclu et de la renaissance de la femme. Dans le texte le corps de l'héroïne ne cesse de renaître tout en opérant des renversements de situation spectaculaires. Et, la conscience du social de Colette s'exprime ainsi par l'écriture du corps et celle du vagabondage.</t>
  </si>
  <si>
    <t xml:space="preserve">2004-11-30</t>
  </si>
  <si>
    <t xml:space="preserve">OABASEV1_807d97a0118f5621</t>
  </si>
  <si>
    <t xml:space="preserve">W000001833</t>
  </si>
  <si>
    <t xml:space="preserve">W7044571459</t>
  </si>
  <si>
    <t xml:space="preserve">Canonicity and “Robin Hood”</t>
  </si>
  <si>
    <t xml:space="preserve">The Prologue of Shakespeare’s and Fletcher’s 1634 dramatic romance The Two Noble Kinsmen (TNK), an acknowledged adaptation of The Knight’s Tale, opens with both adapters explicitly identifying their medieval source and worrying that their “new play” may offend Geoffrey Chaucer, the already-canonical poet whom they adapt. Having added new characters and episodes and a somewhat comic tone, they fear they may be distorting Chaucer’s tragic and Boethian-influenced epic-romance, already adapted from Boccaccio’s less seriously philosophical Il Teseide. They fret that “If we let fall the nobleness of this [adaptation], . . . this child [Chaucer]” in his grave might hear a “hiss” from an unappreciative audience member. This disapproving “hiss” would so “shake the bones of that good man [Chaucer],” that he would “cry from under ground,/ “O, fan/ From me the witless chaff of such a writer/ That blasts my bays and my fam’d works makes lighter Than Robin Hood!” This last phrase raises the provocative question of what the playwrights and/or Chaucer mean by “works . . . lighter/ Than Robin Hood.” My essay shall interrogate the range of pre-1634 literary adaptations of the Robin Hood (RH) legend that audiences of TNK would recognize. These include the original medieval oral “rimes of Robin Hood” that Langland mentions in Piers Plowman, demonstrating that in 1377 the RH narratives were already “popular culture,” surviving in the literary record chiefly because late medieval printers (Caxton, De Worde, Pynson) chose to publish them alongside what are now more canonical authors’ works, such as Chaucer’s Canterbury Tales. These also include ballads like The Death of RH or RH and Guy of Gisborne, preserved in seventeenth-century miscellany collections such as Bishop Percy’s Reliques, which would have been available to the reading public throughout the sixteenth and early seventeenth centuries. There is also the dramatic corpus: ranging from now-lost, improvisational plays involving Robin Hood and Maid Marian, enacted in late medieval Church Ales and May Games; “quasi-theatrical entertainments” like Robyn Hod and Shyrff off Notyngham, performed in Sir John Paston’s household ; printed dramatic works, such as Robert Greene’s 1599 George a Greene the Pinner of Wakefield, and Anthony Munday’s 1598 Downfall and Death of Robin Hood plays. After examining these printed and performed contexts, I raise the issue of why these Robin Hood contexts could be considered “chaff” at which a 1634 audience might “hiss.” Did the non-canonicity of Robin Hood start already when authors like Shakespeare (and behind him Chaucer) defined/maligned them as such? Do the oral origins of the Robin Hood narratives relegate the entire corpus to being considered “popular culture” and not more canonical “high” culture? Would TNK’s Chaucer consider anything recited or performed onstage “chaff” to the “wheat” of more traditional texts originating in manuscript culture? In that case, shouldn’t Shakespeare and Fletcher deservedly feel the Bloomian “anxiety of influence” they evince in this Prologue?</t>
  </si>
  <si>
    <t xml:space="preserve">2018-08-06</t>
  </si>
  <si>
    <t xml:space="preserve">https://doi.org/10.4324/9780429442766-6</t>
  </si>
  <si>
    <r>
      <rPr>
        <sz val="10"/>
        <rFont val="Noto Sans CJK SC"/>
        <family val="2"/>
      </rPr>
      <t xml:space="preserve">著者名ターゲット：</t>
    </r>
    <r>
      <rPr>
        <sz val="10"/>
        <rFont val="Calibri"/>
        <family val="0"/>
        <charset val="1"/>
      </rPr>
      <t xml:space="preserve">The Knight's Tale </t>
    </r>
    <r>
      <rPr>
        <sz val="10"/>
        <rFont val="Noto Sans CJK SC"/>
        <family val="2"/>
      </rPr>
      <t xml:space="preserve">と</t>
    </r>
    <r>
      <rPr>
        <sz val="10"/>
        <rFont val="Calibri"/>
        <family val="0"/>
        <charset val="1"/>
      </rPr>
      <t xml:space="preserve">Chaucer</t>
    </r>
    <r>
      <rPr>
        <sz val="10"/>
        <rFont val="Noto Sans CJK SC"/>
        <family val="2"/>
      </rPr>
      <t xml:space="preserve">への言及</t>
    </r>
  </si>
  <si>
    <t xml:space="preserve">OABASEV1_3ba715f631653db5</t>
  </si>
  <si>
    <t xml:space="preserve">W2905084067</t>
  </si>
  <si>
    <t xml:space="preserve">To Let</t>
  </si>
  <si>
    <t xml:space="preserve">John Galsworthy</t>
  </si>
  <si>
    <t xml:space="preserve">Hercule Poirot in John Galsworthy’s The Forsyte Saga</t>
  </si>
  <si>
    <t xml:space="preserve">John Gindin’s John Galsworthy’s Life and Art: An Alien’s Fortress (London: Macmillan, 1987) notes that Galsworthy enjoyed reading detective fiction.1 It is, therefore, likely that Galsworthy read Agatha Christie’s The Mysterious Affair at Styles, in which Hercule Poirot makes his first appearance, when that book was published in 1920. The next year, in To Let, the third novel of The Forsyte Saga, Galsworthy included the character Prosper Profond. Profond is a Belgian, as is Poirot; the p’s in his name may derive from Poirot. As his name indicates, he, like Christie’s detective, sees deeply into things. Fleur Forsyte confirms this ability: ‘He looks pretty deep’, she remarks.2...</t>
  </si>
  <si>
    <t xml:space="preserve">2020-10-15</t>
  </si>
  <si>
    <t xml:space="preserve">https://doi.org/10.1093/notesj/gjaa167</t>
  </si>
  <si>
    <t xml:space="preserve">OABASEV1_dad93ec79ae5a5a5</t>
  </si>
  <si>
    <t xml:space="preserve">W000031048</t>
  </si>
  <si>
    <t xml:space="preserve">W3107556849</t>
  </si>
  <si>
    <t xml:space="preserve">Nietzsche’s Shadow in Sons and Lovers by D. H. Lawrence</t>
  </si>
  <si>
    <t xml:space="preserve">2015-08-27</t>
  </si>
  <si>
    <t xml:space="preserve">OABASEV1_77009806309865be</t>
  </si>
  <si>
    <t xml:space="preserve">W2526642824</t>
  </si>
  <si>
    <t xml:space="preserve">Leon Edel</t>
  </si>
  <si>
    <t xml:space="preserve">Reviews EDELLEON and LAURENCEDAN H., A Bibliography of Henry James. (The Soho Bibliographies, VIII.) Rupert Hart-Davis, London, 1957. Pp. 411; 8 plates, 3 line-illustrations. 8½×5½ in. £4.4 s .</t>
  </si>
  <si>
    <t xml:space="preserve">Journal Article Reviews Get access LEON EDEL and DAN H. LAURENCE, A Bibliography of Henry James. (The Soho Bibliographies, VIII.) Rupert Hart-Davis, London, 1957. Pp. 411; 8 plates, 3 line-illustrations. 8½×5½ in. £4.4s. C. WALLER BARRETT C. WALLER BARRETT Search for other works by this author on: Oxford Academic Google Scholar The Library, Volume s5-XIV, Issue 1, March 1959, Pages 68–69, https://doi.org/10.1093/library/s5-XIV.1.68 Published: 01 March 1959</t>
  </si>
  <si>
    <t xml:space="preserve">1959.0</t>
  </si>
  <si>
    <t xml:space="preserve">1959-03-01</t>
  </si>
  <si>
    <t xml:space="preserve">https://doi.org/10.1093/library/s5-xiv.1.68</t>
  </si>
  <si>
    <r>
      <rPr>
        <sz val="10"/>
        <rFont val="Calibri"/>
        <family val="0"/>
        <charset val="1"/>
      </rPr>
      <t xml:space="preserve">Edel &amp; Laurence</t>
    </r>
    <r>
      <rPr>
        <sz val="10"/>
        <rFont val="Noto Sans CJK SC"/>
        <family val="2"/>
      </rPr>
      <t xml:space="preserve">「</t>
    </r>
    <r>
      <rPr>
        <sz val="10"/>
        <rFont val="Calibri"/>
        <family val="0"/>
        <charset val="1"/>
      </rPr>
      <t xml:space="preserve">A Bibliography of Henry James</t>
    </r>
    <r>
      <rPr>
        <sz val="10"/>
        <rFont val="Noto Sans CJK SC"/>
        <family val="2"/>
      </rPr>
      <t xml:space="preserve">」は</t>
    </r>
    <r>
      <rPr>
        <sz val="10"/>
        <rFont val="Calibri"/>
        <family val="0"/>
        <charset val="1"/>
      </rPr>
      <t xml:space="preserve">Edel</t>
    </r>
    <r>
      <rPr>
        <sz val="10"/>
        <rFont val="Noto Sans CJK SC"/>
        <family val="2"/>
      </rPr>
      <t xml:space="preserve">の伝記「</t>
    </r>
    <r>
      <rPr>
        <sz val="10"/>
        <rFont val="Calibri"/>
        <family val="0"/>
        <charset val="1"/>
      </rPr>
      <t xml:space="preserve">Henry James</t>
    </r>
    <r>
      <rPr>
        <sz val="10"/>
        <rFont val="Noto Sans CJK SC"/>
        <family val="2"/>
      </rPr>
      <t xml:space="preserve">」とは別著作</t>
    </r>
  </si>
  <si>
    <t xml:space="preserve">OABASEV1_618cdc47a93491fb</t>
  </si>
  <si>
    <t xml:space="preserve">W000014367</t>
  </si>
  <si>
    <t xml:space="preserve">W4231411084</t>
  </si>
  <si>
    <t xml:space="preserve">Physics in James Joyce’s Ulysses</t>
  </si>
  <si>
    <t xml:space="preserve">Ulysses by James Joyce (1882–1941) has a surprising amount of 19th-century, classical physics. The physics community is familiar with the name James Joyce mainly through the word “quark” (onomatopoeic for the sound of a duck or seagull), which Murray Gell-Mann (1929-2019 – Physics Nobel Prize 1969) sourced from Joyce’s Finnegan’s Wake. Ulysses, however, was ranked number one in 1998 on the Modern Library “100 Best Novels” list and is, in whole or in part, in the literature curriculum in university English departments worldwide. The fact that Ulysses contains so much classical physics should not be surprising. Joyce’s friend Eugene Jolas observed: “the range of subjects he [Joyce] enjoyed discussing was a wide one … [including] certain sciences, particularly physics, geometry, and mathematics.” Knowing physics can enhance everyone’s understanding of this novel and enrich its entertainment value. Ulysses exemplifies what physics students (science and non-science majors) and physics teachers should realize, namely, physics and literature are not mutually exclusive.</t>
  </si>
  <si>
    <t xml:space="preserve">2021-12-22</t>
  </si>
  <si>
    <t xml:space="preserve">https://doi.org/10.1119/5.0028832</t>
  </si>
  <si>
    <t xml:space="preserve">OABASEV1_3fa592b7b254431f</t>
  </si>
  <si>
    <t xml:space="preserve">W4200531609</t>
  </si>
  <si>
    <t xml:space="preserve">OpenAlex R2+A1 Blind Human Audit — R2A1A06</t>
  </si>
  <si>
    <t xml:space="preserve">Murphy</t>
  </si>
  <si>
    <t xml:space="preserve">Samuel Beckett</t>
  </si>
  <si>
    <t xml:space="preserve">‘Cities bereft of light’: metropolis, self, and form in Samuel Beckett’s prose</t>
  </si>
  <si>
    <t xml:space="preserve">The city is one of the defining subjects of modernism. If realism humanised and naturalism scientised the ‘real city’, modernism replaced it with the ‘unreal city’ of unresolved and plural impressions. Scholars plunged the depths of the cities of Stendhal, Balzac, Dickens, and Zola, those of Baudelaire, Eliot, Proust, Döblin, Bely, Woolf and Joyce, but they have neglected Beckett’s cities, ascribing the ‘universality’ of his writing to an alleged ‘placelessness’. Recent studies have in many ways corrected this view, showing how his work responds to social and political changes. Yet, in reassessing Beckett’s relationship with his own time, scholars have not taken into account his engagement with the cradle of modern life: the city. Such an investigation can shade further light on the extent of his social awareness, but more importantly, bring to the fore Beckett’s negotiations with the complexity of ‘the real’ and his search for a form that could accommodate it. This thesis aims to fill the gap, mainly focussing on the prose work from Dream of Fair to Middling Women to The Unnamable. An important detour is made to investigate Beckett’s struggle with a realistic medium in his only film Film. While the thesis generally centres on the English version of his work, the French is taken into account when it enriches the discussion. For example, the study of the French Murphy reveals that key elements that characterises the alleged ‘placelessness’ of Beckett’s post-war work are already present in his 1938-1940 translation of his great novel of the city. This study identifies translation as a central yet unexplored cause of Beckett’s move to a less located writing. Beckett’s theatre is only dealt with in passing. ‘Cities Bereft of Light’: Metropolis, Self, and Form in Samuel Beckett’s Prose shows that Beckett’s struggle to find a literary form that can ‘accommodate the mess’ of modern life is closely linked to his representation of complex systems such as cities and city dwellers, even when his narrators become historical tramps. Ultimately, it presents Beckett as a post-Joycean modernist wrestling with some kind of realism.</t>
  </si>
  <si>
    <t xml:space="preserve">2022.0</t>
  </si>
  <si>
    <t xml:space="preserve">2022-01-01</t>
  </si>
  <si>
    <t xml:space="preserve">https://doi.org/10.48683/1926.00118482</t>
  </si>
  <si>
    <r>
      <rPr>
        <sz val="10"/>
        <rFont val="Noto Sans CJK SC"/>
        <family val="2"/>
      </rPr>
      <t xml:space="preserve">抄録後半で </t>
    </r>
    <r>
      <rPr>
        <sz val="10"/>
        <rFont val="Calibri"/>
        <family val="0"/>
        <charset val="1"/>
      </rPr>
      <t xml:space="preserve">French Murphy </t>
    </r>
    <r>
      <rPr>
        <sz val="10"/>
        <rFont val="Noto Sans CJK SC"/>
        <family val="2"/>
      </rPr>
      <t xml:space="preserve">を分析対象として明記</t>
    </r>
  </si>
  <si>
    <t xml:space="preserve">OABASEV1_3d5ff5b3a840f30b</t>
  </si>
  <si>
    <t xml:space="preserve">W000004788</t>
  </si>
  <si>
    <t xml:space="preserve">W6948110458</t>
  </si>
  <si>
    <t xml:space="preserve">Galen's Studies at the Alexandrian School.</t>
  </si>
  <si>
    <t xml:space="preserve">1927-06-01</t>
  </si>
  <si>
    <r>
      <rPr>
        <sz val="10"/>
        <rFont val="Noto Sans CJK SC"/>
        <family val="2"/>
      </rPr>
      <t xml:space="preserve">著者名ターゲット：</t>
    </r>
    <r>
      <rPr>
        <sz val="10"/>
        <rFont val="Calibri"/>
        <family val="0"/>
        <charset val="1"/>
      </rPr>
      <t xml:space="preserve">Galen</t>
    </r>
    <r>
      <rPr>
        <sz val="10"/>
        <rFont val="Noto Sans CJK SC"/>
        <family val="2"/>
      </rPr>
      <t xml:space="preserve">自身の修学を扱う</t>
    </r>
  </si>
  <si>
    <t xml:space="preserve">OABASEV1_1251a3316e7e6dfd</t>
  </si>
  <si>
    <t xml:space="preserve">W3158616894</t>
  </si>
  <si>
    <t xml:space="preserve">The faerie queene</t>
  </si>
  <si>
    <t xml:space="preserve">Edmund Spenser</t>
  </si>
  <si>
    <t xml:space="preserve">Spenser’s and Donne’s devotional poetics of scattering</t>
  </si>
  <si>
    <t xml:space="preserve">‘In no poetry more than the religious did the English genius in the seventeenth century declare its strong individuality, its power of reacting on the traditions and fashions which, in the Elizabethan age, had flowed in upon it from the Latin countries in Europe,’ announced Herbert Grierson in the introduction of his 1921 Metaphysical Lyrics and Poems. Since Grierson’s volume, scholars have proposed numerous genealogies for seventeenth-century religious verse. Such genealogies are inevitably teleological: the question governing them is how English poets made the leap from the psalm translations and paraphrases of Thomas Wyatt, Anne Locke, and the Sidneys to the original devotional poetry of John Donne and George Herbert. Curiously, Edmund Spenser’s poetry is rarely considered in this context. And yet religion is central to virtually all of Spenser’s poetry, from the ethico-religious programme of the Faerie Queene to the Protestant vision of love in the Amoretti and the Neoplatonic ascent to divine love in the Fowre Hymnes. This chapter reconsiders Spenser, especially the Fowre Hymnes, as part of the history that leads to Donne’s poetry of devotional praise in the Holy Sonnets, raising fundamental questions about our categories of religious verse.</t>
  </si>
  <si>
    <t xml:space="preserve">2019-10-01</t>
  </si>
  <si>
    <t xml:space="preserve">https://doi.org/10.7765/9781526117366.00016</t>
  </si>
  <si>
    <t xml:space="preserve">OABASEV1_8bae8304d344d9e8</t>
  </si>
  <si>
    <t xml:space="preserve">W000006192</t>
  </si>
  <si>
    <t xml:space="preserve">W2977903683</t>
  </si>
  <si>
    <t xml:space="preserve">At the Heart of Darkness: Crimes Against Humanity and the Banality of Evil</t>
  </si>
  <si>
    <t xml:space="preserve">This article, while rooted in critical literature, is interdisciplinary, drawing upon political and social theory, history, law, and social sciences to address the problem of evil in an environment dominated by crimes against humanity: the Congo during the reign of the Belgian King Leopold. Joseph Conrad's Heart of Darkness, published in 1899, is based in part on the author's experiences aboard the steamship Roi des Belges on the Congo River in 1890. The narrative contains three representations of evil: the base, primitive, perverse allure of lust and greed in the deepest recesses of the human psyche; evil at the heart of civilization and modernity; and the banal complicity of ordinary people whose silence and denial allows evil to prosper. Without impugning the quality or importance of Heart of Darkness, either as literature or as part of the global discourse on human rights, it is nevertheless argued that the primitive allure of evil is emphasized in the narrative to the detriment of representations of more subtle and civilized manifestations of evil. By redirecting attention to background elements of the story, including the behavior of the Belgian regime and especially the banal complicity of the protagonist Marlow, this essay aims to contribute to the discourse on crimes against humanity and the advancement of human rights.</t>
  </si>
  <si>
    <t xml:space="preserve">2004-08-01</t>
  </si>
  <si>
    <t xml:space="preserve">https://doi.org/10.1353/hrq.2004.0038</t>
  </si>
  <si>
    <t xml:space="preserve">OABASEV1_892ddad34c27e18f</t>
  </si>
  <si>
    <t xml:space="preserve">W2043307592</t>
  </si>
  <si>
    <t xml:space="preserve">Tales of</t>
  </si>
  <si>
    <t xml:space="preserve">A textual and critical study of the New York edition of the Novels and Tales of Henry James</t>
  </si>
  <si>
    <t xml:space="preserve">1984-01-01</t>
  </si>
  <si>
    <r>
      <rPr>
        <sz val="10"/>
        <rFont val="Noto Sans CJK SC"/>
        <family val="2"/>
      </rPr>
      <t xml:space="preserve">ターゲット題名「</t>
    </r>
    <r>
      <rPr>
        <sz val="10"/>
        <rFont val="Calibri"/>
        <family val="0"/>
        <charset val="1"/>
      </rPr>
      <t xml:space="preserve">Tales of</t>
    </r>
    <r>
      <rPr>
        <sz val="10"/>
        <rFont val="Noto Sans CJK SC"/>
        <family val="2"/>
      </rPr>
      <t xml:space="preserve">」は断片的。</t>
    </r>
    <r>
      <rPr>
        <sz val="10"/>
        <rFont val="Calibri"/>
        <family val="0"/>
        <charset val="1"/>
      </rPr>
      <t xml:space="preserve">NY</t>
    </r>
    <r>
      <rPr>
        <sz val="10"/>
        <rFont val="Noto Sans CJK SC"/>
        <family val="2"/>
      </rPr>
      <t xml:space="preserve">版 </t>
    </r>
    <r>
      <rPr>
        <sz val="10"/>
        <rFont val="Calibri"/>
        <family val="0"/>
        <charset val="1"/>
      </rPr>
      <t xml:space="preserve">Novels and Tales of Henry James </t>
    </r>
    <r>
      <rPr>
        <sz val="10"/>
        <rFont val="Noto Sans CJK SC"/>
        <family val="2"/>
      </rPr>
      <t xml:space="preserve">を扱う</t>
    </r>
  </si>
  <si>
    <t xml:space="preserve">OABASEV1_03edffba731e04ed</t>
  </si>
  <si>
    <t xml:space="preserve">W000003949</t>
  </si>
  <si>
    <t xml:space="preserve">W7062458073</t>
  </si>
  <si>
    <t xml:space="preserve">The Waste Land</t>
  </si>
  <si>
    <t xml:space="preserve">T. S. Eliot</t>
  </si>
  <si>
    <t xml:space="preserve">Revisiting "The Waste Land"</t>
  </si>
  <si>
    <t xml:space="preserve">This groundbreaking book of literary detective work alters our understanding of T. S. Eliot’s poetic masterpiece, The Waste Land . Lawrence Rainey not only resolves longstanding mysteries surrounding the composition of the poem but also overturns traditional interpretations of the poem that have prevailed for more than eighty years. He shines new light on Eliot’s greatest achievement and on the poem’s place in the modern canon. Far from the austere and sober monument to neoclassicism that admirers have praised, The Waste Land turns out to be something quite different: something grim and wild, unruly and intractable, violent and shocking and radically indeterminate, yet also deeply compassionate. Rainey looks at how Eliot went about writing the poem and at the sequence in which he composed the parts. Arriving at new insights into the poet’s intentions, Rainey unsettles tradition-bound views of the poem and shows us that The Waste Land is even stranger and more startling than we knew.</t>
  </si>
  <si>
    <t xml:space="preserve">2017-12-22</t>
  </si>
  <si>
    <t xml:space="preserve">https://doi.org/10.12987/9780300129793</t>
  </si>
  <si>
    <t xml:space="preserve">OABASEV1_d767d6288b181671</t>
  </si>
  <si>
    <t xml:space="preserve">W000001290</t>
  </si>
  <si>
    <t xml:space="preserve">W608783286</t>
  </si>
  <si>
    <t xml:space="preserve">Bleak House</t>
  </si>
  <si>
    <t xml:space="preserve">Charles Dickens</t>
  </si>
  <si>
    <t xml:space="preserve">Charles Dickens: Bleak House</t>
  </si>
  <si>
    <t xml:space="preserve">It was quite true, as it soon appeared. She lived so elose by, that we had not time to have done humouring her for a few moments, before she was at horne. Slipping us out at a little side gate, the old lady stopped most unexpectedly in a narrow back street, part of some courts and lanes immediately outside the wall of the Inn, and said, &amp;s;This is my lodging. Pray walk up!&amp;s;</t>
  </si>
  <si>
    <t xml:space="preserve">2016-12-05</t>
  </si>
  <si>
    <t xml:space="preserve">https://doi.org/10.4324/9781315264448-44</t>
  </si>
  <si>
    <t xml:space="preserve">本文抜粋（一次資料）</t>
  </si>
  <si>
    <t xml:space="preserve">OABASEV1_7ff66a823c1c6b2f</t>
  </si>
  <si>
    <t xml:space="preserve">W000018715</t>
  </si>
  <si>
    <t xml:space="preserve">W568469297</t>
  </si>
  <si>
    <t xml:space="preserve">Arthur Rimbaud</t>
  </si>
  <si>
    <t xml:space="preserve">Le goût de Paris. III. Le temps</t>
  </si>
  <si>
    <t xml:space="preserve">Choix de textes littéraires (XVe - XXIe siècles) à propos de Paris, regroupés en trois volumes : Le mythe, Le temps, L'espace. Le temps. Ecrire sur Paris, c'est écrire à propos du temps : temps qui renvoie en permanence à ce qui fuit, ce qui était et qui n'est plus, se corrompt, pierre et gens, source infini de regrets. Paris est un territoire d'utopie : utopies architecturales, rêves de pierre d'une ville incorruptible et indestructible. Paris est surtout le territoire de la mélancolie : celle du temps qui passe et qui ne passe pas, rendant la déploration sans fin et sans fond... Arpentons donc Paris, ville d'hier, d'aujourd'hui et déjà de demain, en compagnie de Blaise Cendrars, Eric Faye, Charles Baudelaire, Gustave Flaubert, Arthur Rimbaud, Walter Benjamin, Claude Nougaro, Jacques Prévert, Guy Debord, Jacques Roubaud, et bien d'autres...</t>
  </si>
  <si>
    <t xml:space="preserve">2004-10-01</t>
  </si>
  <si>
    <r>
      <rPr>
        <sz val="10"/>
        <rFont val="Noto Sans CJK SC"/>
        <family val="2"/>
      </rPr>
      <t xml:space="preserve">著者名ターゲット：</t>
    </r>
    <r>
      <rPr>
        <sz val="10"/>
        <rFont val="Calibri"/>
        <family val="0"/>
        <charset val="1"/>
      </rPr>
      <t xml:space="preserve">Rimbaud</t>
    </r>
    <r>
      <rPr>
        <sz val="10"/>
        <rFont val="Noto Sans CJK SC"/>
        <family val="2"/>
      </rPr>
      <t xml:space="preserve">のテクストを収録するアンソロジー</t>
    </r>
  </si>
  <si>
    <t xml:space="preserve">OABASEV1_01db38f55538bf60</t>
  </si>
  <si>
    <t xml:space="preserve">W000005682</t>
  </si>
  <si>
    <t xml:space="preserve">W2625632036</t>
  </si>
  <si>
    <t xml:space="preserve">P. G. Wodehouse</t>
  </si>
  <si>
    <t xml:space="preserve">The Spirit of England: Selected Essays of Stephen Medcalf</t>
  </si>
  <si>
    <t xml:space="preserve">Stephen Medcalf (1936-2007) was an essayist, in the best traditional sense of that calling: a writer not of books but of substantial and justly celebrated essays, widely read in the Times Literary Supplement and elsewhere. Medcalf's abiding question to the world was the Psalmist's: 'What is man that thou art mindful of him?' His was a Blakean sense of Englishness, far from the chocolate-box painting or the television adaptation, and for him the strongest writers were those keenly aware of their roots in the classical, Anglo-Saxon or Celtic past. By gathering together Medcalf's most important work, this volume shows the coherence of his thinking, and of the elusive, complicated literary heritage he celebrated, one which acknowledges the Greco-Roman strain, the Christian strain, the down-to-earth humour and the gentle irony. Thirteen substantial essays cover Virgil, the Bible, the English translation of Alfred, Piers Plowman, the 'half-alien culture' of the high Middle Ages, Chaucer's contemporary Thomas Usk, Shakespeare's images of resurrection, Horace and Kipling juxtaposed, G. K. Chesterton, T. S. Eliot's use of Ovid, P. G. Wodehouse, William Golding, John Betjeman, Geoffrey Hill and other writers. The book concludes with perhaps Medcalf's most personal article of all: his account of finding a baby in a phone box on a cold winter's night, which first appeared in the Guardian Christmas Supplement in 2002.</t>
  </si>
  <si>
    <t xml:space="preserve">2009-08-01</t>
  </si>
  <si>
    <r>
      <rPr>
        <sz val="10"/>
        <rFont val="Noto Sans CJK SC"/>
        <family val="2"/>
      </rPr>
      <t xml:space="preserve">著者名ターゲット：</t>
    </r>
    <r>
      <rPr>
        <sz val="10"/>
        <rFont val="Calibri"/>
        <family val="0"/>
        <charset val="1"/>
      </rPr>
      <t xml:space="preserve">Wodehouse</t>
    </r>
    <r>
      <rPr>
        <sz val="10"/>
        <rFont val="Noto Sans CJK SC"/>
        <family val="2"/>
      </rPr>
      <t xml:space="preserve">論を収録</t>
    </r>
  </si>
  <si>
    <t xml:space="preserve">OABASEV1_f39908e296378546</t>
  </si>
  <si>
    <t xml:space="preserve">W000003030</t>
  </si>
  <si>
    <t xml:space="preserve">W1576562743</t>
  </si>
  <si>
    <t xml:space="preserve">The Mask of Red Death: An Edgar Allan Poe Mystery</t>
  </si>
  <si>
    <t xml:space="preserve">2004-08-03</t>
  </si>
  <si>
    <r>
      <rPr>
        <sz val="10"/>
        <rFont val="Noto Sans CJK SC"/>
        <family val="2"/>
      </rPr>
      <t xml:space="preserve">著者名ターゲット：</t>
    </r>
    <r>
      <rPr>
        <sz val="10"/>
        <rFont val="Calibri"/>
        <family val="0"/>
        <charset val="1"/>
      </rPr>
      <t xml:space="preserve">Poe</t>
    </r>
    <r>
      <rPr>
        <sz val="10"/>
        <rFont val="Noto Sans CJK SC"/>
        <family val="2"/>
      </rPr>
      <t xml:space="preserve">を登場人物とするミステリ小説。題名は</t>
    </r>
    <r>
      <rPr>
        <sz val="10"/>
        <rFont val="Calibri"/>
        <family val="0"/>
        <charset val="1"/>
      </rPr>
      <t xml:space="preserve">Poe</t>
    </r>
    <r>
      <rPr>
        <sz val="10"/>
        <rFont val="Noto Sans CJK SC"/>
        <family val="2"/>
      </rPr>
      <t xml:space="preserve">の短編題を援用</t>
    </r>
  </si>
  <si>
    <t xml:space="preserve">OABASEV1_c5297363271143c8</t>
  </si>
  <si>
    <t xml:space="preserve">W1482724110</t>
  </si>
  <si>
    <t xml:space="preserve">Decadence: An annotated anthology</t>
  </si>
  <si>
    <t xml:space="preserve">The tradition of Decadent writing in the 19th century remains a fascinating current in the evolution of modern literature. This new anthology brings together key texts from an international range of Decadent writings and writings about Decadence, many of them previously hard to find and some freshly translated from French, German, Italian, and – in a special section on ancient Roman antecedents – from Latin. The selection of texts and extracts, more fully annotated than in other sources, includes key Decadent manifestos and declarations of principle by Theophile Gautier, Walter Pater and Oscar Wilde; poems by Charles Baudelaire, Arthur Symons and many others; extracts from prose fictions by J.-K. Huysmans, Aubrey Beardsley and others; critical denunciations, with more discerning responses to the challenge of Decadence; parodies by Max Beerbohm among others of Decadent attitudes and styles; and significant extracts from relevant ancient Roman writings by Petronius and Juvenal. The selection and explanatory notes combine to offer university students of literature and culture at all levels, along with teachers and lay enthusiasts, a rich resource for the understanding of Decadence as an elusive idea and as a literary tradition, in its complex evolution from the 1830s to the fin de siecle and beyond.</t>
  </si>
  <si>
    <t xml:space="preserve">2011-12-01</t>
  </si>
  <si>
    <r>
      <rPr>
        <sz val="10"/>
        <rFont val="Noto Sans CJK SC"/>
        <family val="2"/>
      </rPr>
      <t xml:space="preserve">著者名ターゲット：</t>
    </r>
    <r>
      <rPr>
        <sz val="10"/>
        <rFont val="Calibri"/>
        <family val="0"/>
        <charset val="1"/>
      </rPr>
      <t xml:space="preserve">Petronius</t>
    </r>
    <r>
      <rPr>
        <sz val="10"/>
        <rFont val="Noto Sans CJK SC"/>
        <family val="2"/>
      </rPr>
      <t xml:space="preserve">の抜粋を収録</t>
    </r>
  </si>
  <si>
    <t xml:space="preserve">OABASEV1_471adc6e29ab5f21</t>
  </si>
  <si>
    <t xml:space="preserve">W585324513</t>
  </si>
  <si>
    <t xml:space="preserve">XXVII. Antiquarian Interest in Elizabethan Drama Before Lamb</t>
  </si>
  <si>
    <t xml:space="preserve">Charles Lamb, in the whimsical autobiographical sketch which he wrote in 1827, boasted that he “was the first to draw the public attention to the old English Dramatists, in a work called ‘Specimens of English Dramatic Writers,‘ who lived about the time of Shakespeare.” Lamb's first biographer, Talfourd, pictures the Specimens as slowly and almost imperceptibly working out “the genial purpose of the editor in renewing a taste for the great contemporaries of Shakespeare.” Ainger describes Lamb as a dispeller of ignorance and remarks of the Specimens: The very idea of the collection was a bold one… . With the one exception of Shakspeare, the dramatists of the period, between “the middle of Elizabeth's reign and the close of the reign of Charles I,” were unknown to the general reader of the year 1808?</t>
  </si>
  <si>
    <t xml:space="preserve">1938.0</t>
  </si>
  <si>
    <t xml:space="preserve">1938-06-01</t>
  </si>
  <si>
    <t xml:space="preserve">https://doi.org/10.2307/458523</t>
  </si>
  <si>
    <r>
      <rPr>
        <sz val="10"/>
        <rFont val="Noto Sans CJK SC"/>
        <family val="2"/>
      </rPr>
      <t xml:space="preserve">著者名ターゲット：</t>
    </r>
    <r>
      <rPr>
        <sz val="10"/>
        <rFont val="Calibri"/>
        <family val="0"/>
        <charset val="1"/>
      </rPr>
      <t xml:space="preserve">Lamb</t>
    </r>
    <r>
      <rPr>
        <sz val="10"/>
        <rFont val="Noto Sans CJK SC"/>
        <family val="2"/>
      </rPr>
      <t xml:space="preserve">の </t>
    </r>
    <r>
      <rPr>
        <sz val="10"/>
        <rFont val="Calibri"/>
        <family val="0"/>
        <charset val="1"/>
      </rPr>
      <t xml:space="preserve">Specimens </t>
    </r>
    <r>
      <rPr>
        <sz val="10"/>
        <rFont val="Noto Sans CJK SC"/>
        <family val="2"/>
      </rPr>
      <t xml:space="preserve">を論じる</t>
    </r>
  </si>
  <si>
    <t xml:space="preserve">OABASEV1_afbcfdf65700f104</t>
  </si>
  <si>
    <t xml:space="preserve">W2333463978</t>
  </si>
  <si>
    <t xml:space="preserve">P2‐401: CEREBRAL VENOUS CALIBER IS ASSOCIATED WITH WHITE MATTER HYPERINTENSITY VOLUME BUT NOT COGNITION</t>
  </si>
  <si>
    <t xml:space="preserve">White matter hyperintensities (WMH) on T2-weighted magnetic resonance imaging (MRI) are a marker of small vessel cerebrovascular disease. Over the past decade, the association between vascular dysfunction and Alzheimer's disease (AD) has increasingly been recognized. Increased WMH volume is associated with increased risk of AD, as well as a worsening overall cognitive profile. This relationship has been generally interpreted as mediated by arterial disease, but there has been renewed interest in the roles of the veins and venules. While the cerebral veins have historically only been accessible for analysis post-mortem, MRI susceptibility weighted imaging (SWI) allows for visualization of the cortical veins in living subjects. In this study, we determined if there is a relationship between diameters of the large draining cerebral veins and WMH volume and cognition. Data were collected from 675 non-demented older individuals, in whom high-resolution MRI-SWI scans and a battery of neurocognitive assessments were available. We quantitated WMH volume using in-house software and derived the brain's major lobes with a standard “lobar” atlas. The diameters of two regions of the cerebral venous draining system (superior sagittal sinus and internal cerebral veins) were measured in the axial plane, and the diameters of two regions (vein of Galen and straight sinus terminus) were measured in the sagittal plane. Linear regression was used to examine relationships among vein/sinus diameter, WMH, and a general cognitive summary measure. Internal cerebral vein diameter was associated with larger total WMH volume (β = 0.093, p = 0.014), regionally in the parietal lobe (β = 0.115, p = 0.002) and in the temporal lobe (β = 0.091, p = 0.018). Total WMH volume was associated with decreased cognition (β = −0.128, p &lt; 0.001), regionally in the frontal lobe (β = −0.130, p &lt; 0.001) and the parietal lobe (β = −0.126, p &lt; 0.001). However, internal cerebral vein diameter was not associated with cognition (β = 0.015, p = 0.670). Our results provide evidence for a relationship between between cerebral vein caliber and white matter disease.</t>
  </si>
  <si>
    <t xml:space="preserve">2019-07-01</t>
  </si>
  <si>
    <t xml:space="preserve">https://doi.org/10.1016/j.jalz.2019.06.2808</t>
  </si>
  <si>
    <t xml:space="preserve">OABASEV1_4aed42b58f763fc7</t>
  </si>
  <si>
    <t xml:space="preserve">W2980397077</t>
  </si>
  <si>
    <t xml:space="preserve">On Troublesome creek</t>
  </si>
  <si>
    <t xml:space="preserve">James Still</t>
  </si>
  <si>
    <t xml:space="preserve">Inside My Father's Clock</t>
  </si>
  <si>
    <t xml:space="preserve">____________. Winter Danger. San Diego, California: Harcourt Brace Jovanovich , a 1990 reprint of a 1954 release. 131 pages. Trade paperback. $3.95. This is the story of eleven-year-old Caje Amis and takes place in the Holston River watershed in East Tennesse in pioneer times. Caje is torn between his father's lifestyle as a long hunter and the life of his mother's people back in the frontier settlements. Still, James. Rusties and Riddles and Gee-Haw Whimmy Diddles. Lexington: The University Press of Kentucky a 1989 reprint of two volumes in one—Way Down Yonder On Troublesome Creek, 1974, and The Wolfpen Rusties: Appalachian Riddles and Gee-Haw Whimmy-Diddles, 1975. 102 unnumbered pages. Hardback in dust jacket illustrated by Jane McCaffery. $15.00. This is a very attractive and authentic book of folklore—especially riddles and short rhymes—put together by one of the region's most respected authors. James Still came to Hindman, Kentucky, in the 1930s, from Lincoln Memorial University . He remains at Hindman today, best-known as the author of River ofEarth, a novel first published in 1940. Van Hook, Beverly Hennen. The Secret ofDevil Mountain: Supergranny #4. Rock Island, Illinois: Holderby and Bierce, 1989. 101 pages. Hardback. $7.95. Trade paperback. $2.95. The author, a native of Huntington, West Virginia, sets this book in her popular series of mysteries, in her home state. The backdrop for the story is the HatfieldMcCoy feud on the West Virginia-Kentucky border. Inside My Father's Clock Our carpenter father, in his slow time left us loose pockets and a clock he meant to finish. It's completed now, Clears the air—with a voice more velvet than his vindication should allow: for, hexed and vexed he ticked away his time, complaining hour on hour, His tongue, a pendulum, non-stopping. His chimes, that tumble down the stairwell, and lilt each quarter-hour alive— I'd wish him back, dusty coveralls And all, to hear its plushy sonnet. Oh, had we reckoned tuneful lives before he died! Oh, for the gold he kept to self inside, the latent Coming ... of our father's obscure love. -Marijane G. Ricketts 79 ...</t>
  </si>
  <si>
    <t xml:space="preserve">1990.0</t>
  </si>
  <si>
    <t xml:space="preserve">1990-06-01</t>
  </si>
  <si>
    <t xml:space="preserve">https://doi.org/10.1353/aph.1990.0046</t>
  </si>
  <si>
    <r>
      <rPr>
        <sz val="10"/>
        <rFont val="Noto Sans CJK SC"/>
        <family val="2"/>
      </rPr>
      <t xml:space="preserve">言及は </t>
    </r>
    <r>
      <rPr>
        <sz val="10"/>
        <rFont val="Calibri"/>
        <family val="0"/>
        <charset val="1"/>
      </rPr>
      <t xml:space="preserve">Way Down Yonder on Troublesome Creek (1974)</t>
    </r>
    <r>
      <rPr>
        <sz val="10"/>
        <rFont val="Noto Sans CJK SC"/>
        <family val="2"/>
      </rPr>
      <t xml:space="preserve">。</t>
    </r>
    <r>
      <rPr>
        <sz val="10"/>
        <rFont val="Calibri"/>
        <family val="0"/>
        <charset val="1"/>
      </rPr>
      <t xml:space="preserve">On Troublesome Creek (1941) </t>
    </r>
    <r>
      <rPr>
        <sz val="10"/>
        <rFont val="Noto Sans CJK SC"/>
        <family val="2"/>
      </rPr>
      <t xml:space="preserve">とは別著作</t>
    </r>
  </si>
  <si>
    <t xml:space="preserve">OABASEV1_9a07bb92a8bcda2e</t>
  </si>
  <si>
    <t xml:space="preserve">W000011420</t>
  </si>
  <si>
    <t xml:space="preserve">W2040176592</t>
  </si>
  <si>
    <t xml:space="preserve">Brève numérique n°4 - Printemps des Humanités Numériques</t>
  </si>
  <si>
    <t xml:space="preserve">Du facsimilé au texte: la nécessité du traitement numérique Julie Laurent (Master 1 LLCER) Notre nouvelle "Brève" vous présente le travail de Julie Laurent, étudiante en Master 1 (LLCER Esp). Julie étudie la genèse de la nouvelle "Mort par scorpion/Muerte por alacrán" (1978) de Armonía Somers. Dans la tradition des nouvelles fantastiques, angoissantes et policières de Guy de Maupassant, Edgar Allan Poe et Horacio Quiroga, Armon ía Somers raconte l'histoire d'un projet d'assassinat par scorpi...</t>
  </si>
  <si>
    <t xml:space="preserve">2020-03-30</t>
  </si>
  <si>
    <t xml:space="preserve">https://doi.org/10.58079/nzp2</t>
  </si>
  <si>
    <r>
      <rPr>
        <sz val="10"/>
        <rFont val="Noto Sans CJK SC"/>
        <family val="2"/>
      </rPr>
      <t xml:space="preserve">著者名ターゲット：幻想・怪奇短編の伝統として</t>
    </r>
    <r>
      <rPr>
        <sz val="10"/>
        <rFont val="Calibri"/>
        <family val="0"/>
        <charset val="1"/>
      </rPr>
      <t xml:space="preserve">Poe</t>
    </r>
    <r>
      <rPr>
        <sz val="10"/>
        <rFont val="Noto Sans CJK SC"/>
        <family val="2"/>
      </rPr>
      <t xml:space="preserve">の名を挙げるのみ</t>
    </r>
  </si>
  <si>
    <t xml:space="preserve">OABASEV1_3d61d6360cf204bb</t>
  </si>
  <si>
    <t xml:space="preserve">W6974257585</t>
  </si>
  <si>
    <t xml:space="preserve">Their Eyes Were Watching God</t>
  </si>
  <si>
    <t xml:space="preserve">Zora Neale Hurston</t>
  </si>
  <si>
    <t xml:space="preserve">Organic Universalism in Zora Neale Hurston’s Their Eyes Were Watching God</t>
  </si>
  <si>
    <t xml:space="preserve">2010-01-01</t>
  </si>
  <si>
    <t xml:space="preserve">https://doi.org/10.5040/9798400605024.0030</t>
  </si>
  <si>
    <t xml:space="preserve">OABASEV1_b20327927276aa9a</t>
  </si>
  <si>
    <t xml:space="preserve">W000014071</t>
  </si>
  <si>
    <t xml:space="preserve">W4386642992</t>
  </si>
  <si>
    <t xml:space="preserve">I Malavoglia</t>
  </si>
  <si>
    <t xml:space="preserve">Giovanni Verga</t>
  </si>
  <si>
    <t xml:space="preserve">THE VERIST VERGA IN CONTEMPORARY MUSIC</t>
  </si>
  <si>
    <t xml:space="preserve">Between the end of the 20th century and the new millennium, while the critical debate on Giovanni Verga seemed to weaken and at the same time his influence on contemporary literature diminished, numerous artists in the musical world drew from the experimentalism inherent to the Catanian writer’s verist oeuvre. Through performances that combined theatre, dance, and music, often involving contaminations among different styles, the works of verist Verga transcended the geographical boundaries of Sicily to reach the ‘Big Apple’ and even reverberated in expressive pop-culture forms, including pop music, combining more traditional pieces in Sicilian dialect with rap sounds. Although the choice of musical works presented in this paper is limited to those based on the novel I Malavoglia and a few short stories, within this corpus containing various reinterpretations by contemporary artists one can find stylistic and thematic inspirations that reflect the cornerstones of Verga’s expressive innovation. This is, therefore, a tangible sign that the Etnean author, through the experimentation of his verist workshop, remains relevant in contemporary times.</t>
  </si>
  <si>
    <t xml:space="preserve">2024-11-18</t>
  </si>
  <si>
    <t xml:space="preserve">https://doi.org/10.19090/gff.v49i4.2493</t>
  </si>
  <si>
    <t xml:space="preserve">OABASEV1_e64d8c0f3a18f65e</t>
  </si>
  <si>
    <t xml:space="preserve">W000021091</t>
  </si>
  <si>
    <t xml:space="preserve">W4404543609</t>
  </si>
  <si>
    <t xml:space="preserve">Native Son</t>
  </si>
  <si>
    <t xml:space="preserve">Richard Wright</t>
  </si>
  <si>
    <t xml:space="preserve">Poetry in the Round Presents, Arnold Rampersad on Richard Wright's Native Son</t>
  </si>
  <si>
    <t xml:space="preserve">Poetry in the Round was a series of speakers and events created by Professor John Harrington, a faculty member in the Seton Hall University English department from 1956-1995. Harrington founded Poetry in the Round in 1982, and the series continues into the present day. Poetry in the Round brought many prominent writers to campus, including Philip Roth, Margaret Atwood, Joyce Carol Oates, and many others.</t>
  </si>
  <si>
    <t xml:space="preserve">2018-05-04</t>
  </si>
  <si>
    <t xml:space="preserve">OABASEV1_e877906133b8ad0b</t>
  </si>
  <si>
    <t xml:space="preserve">W000013961</t>
  </si>
  <si>
    <t xml:space="preserve">W7033285017</t>
  </si>
  <si>
    <t xml:space="preserve">Weaving Democracy</t>
  </si>
  <si>
    <t xml:space="preserve">The lost thread of Jacques Rancière's title is an overdetermined signifier, itself an interwoven history. Most obviously, it refers to the loss of the authority of plot as derived from Aristotelian aesthetics. Aristotle redeemed literature from Plato's accusation of delusive falsehood by asserting that the artist's delineation of the rational chain of cause and effect was a superior form of truth to the historian's mere succession of facts. Subsequently, this order of rationality conferred the authority of its form of truth on philosophical and scientific discourse and on the social and political sciences. In the field of literature, rational verisimilitude produced a totalizing aesthetic in which only some people were designated capable of meaningful speech and action, dignified feelings, and motivation toward a noble goal. All those not privileged with the status of rationality were relegated to the order of noise rather than speech and their lives ruled by repetition as opposed to the heroic capacity for willed action.Much of Rancière's critical writing has delineated the destruction of this classical order of verisimilitude. The political, social, and aesthetic energies that constituted a turmoil of forces at the end of the eighteenth century overwhelmed the rational order of causal plot and its demarcation of who may and may not speak and act meaningfully. A new democratic aesthetic regime broke free in which anyone can say anything at all and in which any aspect of the world whatsoever became worthy of writing. Rancière claims that in place of the causal thread of plot as imposition of singular meaning and truth, a redistribution of sensible reality imposed itself. Instead of an idealist rational hierarchy, material existence comes to be understood as multiple, nonhierarchal, interwoven, and infinite. The rational thread of absolute truth is replaced by a plurality of verbal texture.Yet in many ways, Rancière's greater concern is with another loss. He argues that the aesthetic democratic revolution within literature has been misinterpreted by literary critics almost since its inception. Contemporary readers of early nineteenth-century realists criticized the mass of detail that flooded their texts as detrimental to aesthetic decorum. Subsequent critics, from Walter Benjamin to Roland Barthes, interpreted the new textual multiplicity of writing as a symptom of materialist excess, an obsessive compulsion to affirm the solidity of the bourgeois world as the only possible reality. The pursuit of art for art's sake was a means by which artists broke free from the claims of an overburdening materialism. Structuralist and poststructuralist writers likewise severed textuality from the sensible world. What gets completely lost in this long critical tradition of disdain for descriptive detail is recognition of the revolutionary potential of the aesthetic embrace of materiality. Rancière challenges this consensual judgment against physical matter. It is the excess of the sensible, he argues, that overthrows the old representational plot of action that had sustained classical verisimilitude. In its place an egalitarian inclusiveness and sensory inexhaustibility became, from the late eighteenth century, the defining quality of a new aesthetic regime.Undoubtedly, this is a revisionary account offering quite new ways of approaching realism and modernism, without a sense of binary opposition and without rejection of materialism. For Rancière, both realism and modernism need to be understood as participating in a democratic aesthetic that redistributes the perceptible world, ceaselessly expanding the horizons of the sensible. The structuring perception of the new aesthetic, replacing the linear drive of causality and action, is what Rancière terms the “lived fabric of a world,” an inclusive, interactive web of material reality (15). In The Lost Thread, he discusses the work of Flaubert, Conrad, and Woolf, whose narrative dynamics variously express a struggle for dominance between plot as imposition of hierarchical rationality, on one hand, and the unbounded textuality of a sensory realm on the other. In the second part of the book, Rancière analyzes the poetry of Keats and Baudelaire in terms of a republican aspiration of human creativity. A final essay on theater returns to the tension between political aspirations born of the revolutionary era and forms of artistic production. How is the new aesthetic dissensus to be expressed as understanding that can inform political thought and action without reinscribing it as a form of knowledge and thereby reinvesting in the tyranny of plot?Dissensus has been a central term in accounts of Rancière's writing, designating his focus upon points of fracture within political and aesthetic consensus. In particular, he argues that an egalitarian surge of sensory existence into the novel form around the end of the eighteenth century has its counterpart in the refusal of ordinary working people to stay within the scope of life and ambitions previously allotted them. The old consensuses of artistic decorum and social relations were both swept aside. In The Lost Thread, however, Rancière is somewhat less focused upon moments of dissensus than upon processes of transformational encounters between residual and revolutionary aesthetics. In his multifaceted analysis of texts, he seeks to uncover the political work of a new radical sensibility inherent in the form itself, regardless of content. While Emma Bovary's romantic dreams can be aligned with the aspirations of workers for emancipation from drudgery, the plot of Emma's story enacts no heroic enlargement. In general, while the new aesthetic regime is empowered by the sweep of multiple sensory reality into the textual life of art, Rancière argues, realist plots seal off democratic victories from their characters. Flaubert splits Emma into two aesthetic parts. One form of her imagined being enacts a condensation of the impersonal, teeming sensory fabric of life, the endless atoms of experience her body encounters. This is the verbal triumph of the new radical aesthetic; but the character knows her life only in terms of the old representative order, even while no longer retaining the freedom of heroic action. The nineteenth-century realists appropriated the egalitarian power of dissensus but sacrificed their characters to the plot, Rancière claims.Conrad shares the late nineteenth-century philosophical skepticism as to universal truths. Thus for him, the authority of plot is weakened. Conrad's stories, Rancière argues, arise from a mistaken assumption, illusion, or belief. The skepticism is textual in scope; the mass of verbal detail destroys the possibility of any final singular meaning. The texts of novels like Lord Jim enact a narrative decomposition into fragmented microscopic events. No finite resolution can limit the unending flow of a sensible world. But the novel as genre demands plot. In Lord Jim, an entirely arbitrary conclusion is simply imposed. In Heart of Darkness, Marlow's lie radically betrays Conrad's new egalitarian aesthetics of infinite textuality. The sheer magnitude of sensible existence that Conrad infuses into his stories and their distance from routine life preclude any ending commensurate with that vastness.Perhaps, Rancière suggests, the lesson is to shift the immensities of sky and space to the domestic sphere. Which is what Virginia Woolf does, he claims. All of Woolf's novels, he argues, articulate a tension between plot and a new aesthetic of nonexclusive multiplicity. The evocation of the radical otherness of sensible processes in the middle section of To the Lighthouse is curtailed by enclosure within the female plot of the first section and the father's plot in the final section. In Mrs. Dalloway, the dialectic between singularity and multiplicity is more integrated by means of anonymous subjectivities spread across city space. The narrative, likewise, disperses plot across multiple trajectories.Nevertheless, one might argue that Woolf's practice is more radical than Rancière recognizes. While Emma Bovary as character is split from consciousness of her being as sensory existence, Woolf's female characters inhabit that split as consciousness. They live simultaneously within the great democracy of the sensible world and within the consensual plots of power and subordination. As such they constitute a continuous force of dissensus throughout the text. Furthermore, far from domesticating the immensity of the sensible fabric of life, Woolf's verbal heterogeneity reconfigures consensual values of scale; material reality is a continuum encompassing atoms and stars, nerve fibers and tidal movement, discarded boots, traditional nursery rhymes, and the splatter of mud.Keats's engagement with the contentious politics of his time has long divided critical opinion: are his sympathies with radical causes or with the pursuit of an ideal of timeless beauty? Rancière's reading, focusing largely upon Ode to Autumn, argues that Keats's politics are inherent in his aesthetic practice. Rancière foregrounds the activity of art as weaving in opposition to the singularity of plot. Few poets, he claims, felt as powerfully as Keats that poetry is an interweaving of contraries: the material and the immaterial, passivity and activity. For Keats, the interwoven fabric that constitutes a poem brings into being a multiple community of existing poems, fragments of sound like birdsong, remembered images and words, and poems only entertained in reveries. This perception of the whole sensible fabric of existence underlying poetic sensibility projects a possible new human relationship of shared creativity. It is the form of egalitarian politics constituting Keats's verse. Keats's affirmation of negative capability refutes the traditional hierarchy in which only some are born to noble action and words and the many to mere existence. By refusing poetic individualism and annulling the difference between activity and reverie, Keats's poetic radicalism affirms a communal creativity unendingly interweaving all aspects of life. Keats thus participates in the great democratic upheavals, recognizing the capacity of the many to engage in the “diligent indolence” of art that will establish a community of equals (75).Baudelaire's radicalism, like that of Keats, inheres within his aesthetic practice, Rancière claims. Such a view directly challenges Benjamin's influential reading of Baudelaire. For such critics, Baudelaire gives powerful expression to the dehumanizing, sordid emptiness experienced by the fleeting crowds on city streets. His poetry voices alienation, not community. But Baudelaire's response is more complex, Rancière suggests, and derives from a Balzacian sense of human life so vast and varied that any Aristotelian rational causation founders. It is not so much that the modern world has become too prosaic as that it has become too immense to sustain plot. Baudelaire's poems enact encounters between subjects who are networks of sensation within a sensible world that has no limit.The poetic apprehension of this multiplicity requires a form of “reverie,” not as inwardness but as an erasure of any boundary between inside and outside. The poem is necessarily a fragment of this unstable, floating existence, a “patch of sky seen through the basement window” (105). As such, Baudelaire's verse sustains neither individualized Aristotelian subjectivity nor yet the singularity of pantheistic universal life. It is the multiplicity of sensible existence inhering in each glimpsed sight, each feeling, each momentary sensation of Baudelaire's poetic practice that offers itself, Rancière says, to “the aesthetic Republic's work of infinitization” (113). Baudelaire's complex response to the city recognizes its rapaciousness, its sordid appetites, but equally and positively grasps its poetic participation in a new democratic redistribution that erases the identifying boundaries of beauty, ugliness, sin, and grace. It is in the mutations, divisions, and contradictions of multiple life and multiple lives that “the idea of poetry and the Republic combined to draw a certain visage of community” (113).Rancière's account of the aesthetic transformations stemming from the revolutionary era brings a welcome challenge to the political skepticism that has dominated literary studies, especially in regard to realism. In that sense, his work is itself a project of dissensus, a redistribution of the perceptible of a new aesthetic regime. It is a regime that radically reconfigures the sensible world as an egalitarian, horizontal continuity beyond any possibility of completion. Neither is dissensus ever a completed project. The politics of aesthetics is not the acquiring of knowledge. It is a transformational redistributive practice. Thus Woolf shatters the consensual scale inscribing degrees of importance and relevance. Poets project a republican vision of creative community, sustained by a new sensibility of the infinite fabric of life. Within the current political world, across almost all consensual regimes, the plots of truth have hardened into hostile dogmas. One must hope that a sense of the multiply interwoven experiences, microevents, and epoch changes that constitute the material fabric of life will empower an aesthetic dissensus—not an Aristotelian realism but a recognition of the radical, egalitarian implications of inhabiting a shared sensory world, “the great democracy of sensible coexistences” (13).</t>
  </si>
  <si>
    <t xml:space="preserve">2018-11-01</t>
  </si>
  <si>
    <t xml:space="preserve">https://doi.org/10.1215/00295132-7086735</t>
  </si>
  <si>
    <r>
      <rPr>
        <sz val="10"/>
        <rFont val="Noto Sans CJK SC"/>
        <family val="2"/>
      </rPr>
      <t xml:space="preserve">抄録後半で </t>
    </r>
    <r>
      <rPr>
        <sz val="10"/>
        <rFont val="Calibri"/>
        <family val="0"/>
        <charset val="1"/>
      </rPr>
      <t xml:space="preserve">Mrs. Dalloway </t>
    </r>
    <r>
      <rPr>
        <sz val="10"/>
        <rFont val="Noto Sans CJK SC"/>
        <family val="2"/>
      </rPr>
      <t xml:space="preserve">を論じる</t>
    </r>
  </si>
  <si>
    <t xml:space="preserve">OABASEV1_67eead08529ec03c</t>
  </si>
  <si>
    <t xml:space="preserve">W4235855883</t>
  </si>
  <si>
    <t xml:space="preserve">Fairy tales</t>
  </si>
  <si>
    <t xml:space="preserve">The Great Storyteller</t>
  </si>
  <si>
    <t xml:space="preserve">The Great Storyteller International Children's Book DayHave you read "The Ugly Duckling," "The Princess and the Pea," "Thumbelina" or "The Emperor's New Clothes"?These are four of the best known of Hans Christian Andersen's 168 fairy tales.These stories are famous the world over.They have been translated into so many " languages that they are among ~ the most widely read stories on earth.International Children's Book Day will be celebrated on April 2, Andersen's birthday.This day calls attention to the books written by fine authors all around the world.Hans Christian Andersen considered himself ugly all his life.He was tall and skinny and had a long nose.Andersen made many drawings on his travels.</t>
  </si>
  <si>
    <t xml:space="preserve">1981-04-01</t>
  </si>
  <si>
    <t xml:space="preserve">OABASEV1_56feff0438a00878</t>
  </si>
  <si>
    <t xml:space="preserve">W000015263</t>
  </si>
  <si>
    <t xml:space="preserve">W7212197711</t>
  </si>
  <si>
    <t xml:space="preserve">A Publisher's Paradise: Expatriate Literary Culture in Paris, 1890–1960 A Publisher's Paradise: Expatriate Literary Culture in Paris, 1890–1960 . By Colette Colligan . (Studies in Print Culture and the History of the Book.) Amherst: University of Massachusetts Press, 2014. ix + 361 pp., ill.</t>
  </si>
  <si>
    <t xml:space="preserve">Between 1890 and 1960, according to Colette Colligan, Paris was home to ‘some of Anglo-America's most heated contests over books, sex and censorship’ (p. 1). It is indeed the phenomenon of a veritable flourishing of expatriate publication and distribution of what she loosely calls ‘dirty books’ that directs her study of the political, commercial, and aesthetic forces that made Paris a hotbed of literary achievement and circulation in a time of restrictive regulatory laws abroad. In this context, and in what is essentially a work of recovery, Colligan casts her net wide, tracing the fate of ‘high’ and ‘low’ pornographic literatures that date back to the Victorian Randiana and Oscar Wilde's Picture of Dorian Gray, through two world wars to Vladimir Nabokov's Lolita, famously published in Paris in 1955. Colligan's time frame, covering seven decades, proves historically and culturally fecund. While acknowledging the scholarly attention that has been given to 1920s Paris as a publishing haven (consider the release of James Joyce's Ulysses by American Paris bookseller Sylvia Beach in 1922), she navigates literary territories across successive eras with considerable analytical aplomb. A major objective of the book is to bring to light previously obscured evidence of clandestine print activity — small-time smut-peddling, book-laundering, under-the-counter sales — whether in the service of ‘degraded’ works, or, latterly, the sexually explicit novels of modernists such as James Joyce, Henry Miller, and D. H. Lawrence. Dividing her work into three parts presenting different perspectives on how liberal publishing laws in France enabled the English sex book industry to thrive, Colligan proffers tales of derring-do relating to little-known authors, wily publishers, covert market strategies, and the vagaries of the contraband trade, variously subject to cultural undercurrents as diverse as Victorian prudery, turn-of-the-century decadence, and the repressions of Nazi-occupied France during the Second World War. A first section examines the way changing English anti-obscenity policing was implemented and eluded, sending the production and dissemination of pornographies offshore, yet hardly stemming their flow. A middle section identifies the key expatriate dealers who operated from Paris, notably the British Charles Carrington: fringe publisher, risk-taker, translator, and eccentric bibliophile. But it is the final section, an analysis of three representative literary works, that truly reveals how daringly ahead of their time pornographic literatures could be. Consistent with the research methods of historical materialist Walter Benjamin, Colligan's ‘retrieval’ of the past draws on the kind of data that can easily be lost from view: anonymous texts, incomplete records, underexposed literary artefacts, unfrequented archival files. Judiciously speculative, analytically rich, and never dull, her study inveigles the reader into areas of the once-banned literary output that put Paris in the vanguard of press freedoms eventually widely espoused by the United Kingdom and the United States. Given that it is sourced from an impressive range of primary and secondary works, the book would have been well served by a selective bibliography. Nonetheless, it is a major addition to extant literature on publishing history and France's seminal role in supporting controversial and marginal literary works from abroad.</t>
  </si>
  <si>
    <t xml:space="preserve">https://doi.org/10.1093/fs/knu253</t>
  </si>
  <si>
    <r>
      <rPr>
        <sz val="10"/>
        <rFont val="Noto Sans CJK SC"/>
        <family val="2"/>
      </rPr>
      <t xml:space="preserve">著者名ターゲット：抄録後半で</t>
    </r>
    <r>
      <rPr>
        <sz val="10"/>
        <rFont val="Calibri"/>
        <family val="0"/>
        <charset val="1"/>
      </rPr>
      <t xml:space="preserve">Lawrence</t>
    </r>
    <r>
      <rPr>
        <sz val="10"/>
        <rFont val="Noto Sans CJK SC"/>
        <family val="2"/>
      </rPr>
      <t xml:space="preserve">の性的に露骨な小説群に言及</t>
    </r>
  </si>
  <si>
    <t xml:space="preserve">OABASEV1_e617c757a18a4cff</t>
  </si>
  <si>
    <t xml:space="preserve">W2019999148</t>
  </si>
  <si>
    <t xml:space="preserve">Joyce and Herrick</t>
  </si>
  <si>
    <t xml:space="preserve">Contemporary critics of Joyce's Chamber Music (1907) saw in these early poems something of spirit of Waller and courtliness that reminds one of and Lovelace and the lucid sensibility of Jonson and Herrick. Ezra Pound observed, the wording is Elizabethan, metres at times suggesting Herrick (Robert Deming, ed., James Joyce: The_Critical Heritage (Lon: Routledge &amp; Kegan Paul, 1970, 41, 44, 46, 168). There are also three references to in Ulysses (1922). Joyce takes cherryripe red lips from Herrick's lyric Cherrie-ripe, slightly misquotes slight disorder in her dress from Delight in Disorder and accurately quotes Bid me to live and I will live thy protestant [suitor] to be from To Anthea, who may command him any thing (Ulysses, ed. Hans Walter Gabler, NY: Vintage, 1986, 285:2, 340:1-2, 540:7-8, quoting The Complete Poetry of Robert Herrick, ed. J. Max Patrick, NY: Anchor, 1963, 30, 41, 149). Two poems play a thematic rather than stylistic role in Ulysses and illuminate bizarre sex life of Leopold and Molly Bloom. The buxom singer Molly, aged thirty-four, is daughter of an Irish father and Spanish mother. Unlike Penelope, her faithful Homeric prototype, she lacks traditional feminine qualities: gentleness, tenderness and affection. She defies social convention and is slothful, sensual and unfaithful. Bloom, aged thirty-eight, a Dublin Jew and advertising canvasser, is unusually sensitive and intelligent. They've been married for sixteen years but, following death of their infant son Rudy, have not had complete sexual intercourse for ten years. Molly's Homeric catalogue of real and imagined lovers features an Italian organ-grinder and Lord Mayor of Dublin; naval lieutenant, Mulvey, who'd known her when she was a girl in Gibraltar; army lieutenant, Stanley Gardner, killed in Boer War; tenor Bartell d'Arcy; Stephen's father, Simon Dedalus; and Blazes Boylan, who has sex with her on day novel takes place. None of her numerous lovers has got her pregnant; and she makes Boylan withdraw and ejaculate on her. Critics like Hugh Kenner, claiming her list is entirely imaginary, have argued that Molly had no lovers before Boylan. But all Dublin believes she's had many love affairs. A woman with her prodigious sexual appetite would not wait ten years and then make such a calculated and public assignation with Boylan; she would not permit, after a decade of abstinence, his crude and abrupt assault; and she would not suddenly gain her husband's tame acquiescence. Boylan plays role of Judas in novel. A betrayer, but necessary to achieve a higher end, he arouses Molly physically and Bloom mentally, and (we are led to believe) brings them together sexually. During Molly's encounter with Boylan, she frequently thinks of Bloom and desires him more than her current lover. Bloom, afraid of creating another child who might die, associates womb with death. Both pander and cuckold, he assumes responsibility for Molly's adultery. He's refused to sleep with his intensely physical and emotionally demanding wife, and quite understands why she seeks satisfaction elsewhere. Bloom thinks: Unhappy woman, she had been too long and too persistently denied her legitimate prerogative (334). Molly, in a rare moment of self-reflection and moral judgment, agrees with him: serves him right its all his own fault if I am an adulteress (641). …</t>
  </si>
  <si>
    <t xml:space="preserve">2008.0</t>
  </si>
  <si>
    <t xml:space="preserve">2008-03-01</t>
  </si>
  <si>
    <t xml:space="preserve">OABASEV1_cf1288012eea143a</t>
  </si>
  <si>
    <t xml:space="preserve">W282211382</t>
  </si>
  <si>
    <t xml:space="preserve">A metáfora que mobiliza: uma leitura da crítica “Ciúme e dúvida póstuma [Dom Casmurro, de Machado de Assis]”, de João Cezar de Castro Rocha</t>
  </si>
  <si>
    <t xml:space="preserve">Submitted by SUELEN SPINDOLA BILHAR (suelen.bilhar@uffs.edu.br) on 2019-10-09T17:28:33Z No. of bitstreams: 1 CORDEIRO.pdf: 3773353 bytes, checksum: 65ac128f970df3444343aff957f5999f (MD5)</t>
  </si>
  <si>
    <t xml:space="preserve">OABASEV1_b901fed5ff9e0c8f</t>
  </si>
  <si>
    <t xml:space="preserve">W7002160848</t>
  </si>
  <si>
    <t xml:space="preserve">Classification of Spontaneous Dural Arteriovenous Fistulas with Regard to Their Pathogenesis</t>
  </si>
  <si>
    <t xml:space="preserve">PURPOSE: A classification of dural arteriovenous fistulas (DAVFs) according to their pathogenesis has not been established. The purpose of this study was to examine the hypothesis that the different angiomorphologies of DAVFs depend on the location of the venous recipient, and that a territorial classification of spontaneous DAVFs can be created based on their acquired development. MATERIAL AND METHODS: The clinical and radiographic findings of 96 patients with DAVFs were reviewed, especially with regard to their venous characteristics. RESULTS: DAVFs were subdivided into 5 groups: Type 1--DAVFs of the dural sinuses (n = 39); Type 2--DAVFs of the cavernous sinus (n = 29); Type 3--DAVFs of Galen's system (n = 10); Type 4--DAVFs of the venous plexus at the base of the skull (n = 9); Type 5--DAVFs of the parasinusal cortical veins (n = 9). The documentation of a causal sinus thrombosis depends on the location of the DAVF: in 72% of the cases with type 1 DAVFs there was a thrombosis at the time of the investigation, but no thrombosis could be proved in cases with type 4 DAVFs. CONCLUSION: The morphological development of DAVFs seems to depend on the flow volume of the venous recipient. A pronounced development of pathological AV shunts takes place at the level of the large basal dural sinuses. A delayed development of pathological AV shunts with a low shunt volume occurs in a venous recipient with a low AV pressure gradient.</t>
  </si>
  <si>
    <t xml:space="preserve">1995.0</t>
  </si>
  <si>
    <t xml:space="preserve">1995-07-01</t>
  </si>
  <si>
    <t xml:space="preserve">https://doi.org/10.1177/028418519503600457</t>
  </si>
  <si>
    <r>
      <rPr>
        <sz val="10"/>
        <rFont val="Calibri"/>
        <family val="0"/>
        <charset val="1"/>
      </rPr>
      <t xml:space="preserve">"DAVFs of Galen's system"</t>
    </r>
    <r>
      <rPr>
        <sz val="10"/>
        <rFont val="Noto Sans CJK SC"/>
        <family val="2"/>
      </rPr>
      <t xml:space="preserve">（解剖学上の名祖）</t>
    </r>
  </si>
  <si>
    <t xml:space="preserve">OABASEV1_6d3ad928cf368bfa</t>
  </si>
  <si>
    <t xml:space="preserve">W2064113861</t>
  </si>
  <si>
    <t xml:space="preserve">Sterne</t>
  </si>
  <si>
    <t xml:space="preserve">Laurence Sterne</t>
  </si>
  <si>
    <t xml:space="preserve">Conclusion: Millennial Times, Perennial Times</t>
  </si>
  <si>
    <t xml:space="preserve">The millennium and fears of its ‘bug’ confirmed how far the modern world remained in thrall to exacting temporalities. Some early C21st-century novels – e.g. by W.G. Sebald– extended the resistive strategies of modernism, alongside recent ones described in Chapter Six. Others – by Don DeLillo and Thomas Pynchon – suggested different strategies for evading temporal constraints, and also some of the latter’s origins in the eighteenth century ‘Age of Reason’ and Industrial Revolution. Examining this age clarifies how far the rise of the novel (in its modern mode) may be attributed to newly-exacting influences of the clock on contemporary life, and how extensively these were resisted by early practitioners of the form, particularly Laurence Sterne. Resistance to the clock’s orderings can of course be further retraced, though Shakespeare’s plays – even back to Roman times – with much C20th writing suggesting it shares in wider, perennial antinomies between human reason, or agency, and nature. Though perhaps perennial, such antinomies should be seen as historically specific in scale and nature, and particularly inflected within C20th imagination. Tracing this inflection, as this study has shown, offers a powerful means of understanding the century’s history and the ways this has shaped its imagination and narrative forms.</t>
  </si>
  <si>
    <t xml:space="preserve">2018-02-01</t>
  </si>
  <si>
    <t xml:space="preserve">https://doi.org/10.3366/edinburgh/9781474401555.003.0007</t>
  </si>
  <si>
    <r>
      <rPr>
        <sz val="10"/>
        <rFont val="Noto Sans CJK SC"/>
        <family val="2"/>
      </rPr>
      <t xml:space="preserve">著者名ターゲット：小説の初期実践者としての</t>
    </r>
    <r>
      <rPr>
        <sz val="10"/>
        <rFont val="Calibri"/>
        <family val="0"/>
        <charset val="1"/>
      </rPr>
      <t xml:space="preserve">Sterne</t>
    </r>
    <r>
      <rPr>
        <sz val="10"/>
        <rFont val="Noto Sans CJK SC"/>
        <family val="2"/>
      </rPr>
      <t xml:space="preserve">とその時間表現への言及</t>
    </r>
  </si>
  <si>
    <t xml:space="preserve">OABASEV1_33f1a2e7b04a266d</t>
  </si>
  <si>
    <t xml:space="preserve">W000018781</t>
  </si>
  <si>
    <t xml:space="preserve">W3027849124</t>
  </si>
</sst>
</file>

<file path=xl/styles.xml><?xml version="1.0" encoding="utf-8"?>
<styleSheet xmlns="http://schemas.openxmlformats.org/spreadsheetml/2006/main">
  <numFmts count="1">
    <numFmt numFmtId="164" formatCode="General"/>
  </numFmts>
  <fonts count="15">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name val="Noto Sans CJK SC"/>
      <family val="2"/>
    </font>
    <font>
      <b val="true"/>
      <sz val="11"/>
      <name val="Calibri"/>
      <family val="0"/>
      <charset val="1"/>
    </font>
    <font>
      <sz val="11"/>
      <name val="Noto Sans CJK SC"/>
      <family val="2"/>
    </font>
    <font>
      <i val="true"/>
      <sz val="11"/>
      <color rgb="FF666666"/>
      <name val="Calibri"/>
      <family val="0"/>
      <charset val="1"/>
    </font>
    <font>
      <b val="true"/>
      <sz val="15"/>
      <color rgb="FFFFFFFF"/>
      <name val="Calibri"/>
      <family val="0"/>
      <charset val="1"/>
    </font>
    <font>
      <i val="true"/>
      <sz val="11"/>
      <name val="Noto Sans CJK SC"/>
      <family val="2"/>
    </font>
    <font>
      <i val="true"/>
      <sz val="11"/>
      <name val="Calibri"/>
      <family val="0"/>
      <charset val="1"/>
    </font>
    <font>
      <sz val="10"/>
      <name val="Calibri"/>
      <family val="0"/>
      <charset val="1"/>
    </font>
    <font>
      <sz val="10"/>
      <name val="Noto Sans CJK SC"/>
      <family val="2"/>
    </font>
  </fonts>
  <fills count="7">
    <fill>
      <patternFill patternType="none"/>
    </fill>
    <fill>
      <patternFill patternType="gray125"/>
    </fill>
    <fill>
      <patternFill patternType="solid">
        <fgColor rgb="FF1F4E78"/>
        <bgColor rgb="FF003366"/>
      </patternFill>
    </fill>
    <fill>
      <patternFill patternType="solid">
        <fgColor rgb="FFEAF4EA"/>
        <bgColor rgb="FFF3F4F6"/>
      </patternFill>
    </fill>
    <fill>
      <patternFill patternType="solid">
        <fgColor rgb="FFD9EAF7"/>
        <bgColor rgb="FFE2F0D9"/>
      </patternFill>
    </fill>
    <fill>
      <patternFill patternType="solid">
        <fgColor rgb="FFF3F4F6"/>
        <bgColor rgb="FFEAF4EA"/>
      </patternFill>
    </fill>
    <fill>
      <patternFill patternType="solid">
        <fgColor rgb="FFFFF4CC"/>
        <bgColor rgb="FFFFF2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false" applyBorder="tru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false" indent="0" shrinkToFit="false"/>
      <protection locked="true" hidden="false"/>
    </xf>
    <xf numFmtId="164" fontId="6" fillId="3" borderId="0" xfId="20" applyFont="true" applyBorder="true" applyAlignment="true" applyProtection="false">
      <alignment horizontal="general" vertical="center" textRotation="0" wrapText="true" indent="0" shrinkToFit="false"/>
      <protection locked="true" hidden="false"/>
    </xf>
    <xf numFmtId="164" fontId="6" fillId="4" borderId="0" xfId="20" applyFont="true" applyBorder="true" applyAlignment="true" applyProtection="false">
      <alignment horizontal="general" vertical="bottom" textRotation="0" wrapText="tru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8" fillId="0" borderId="0" xfId="20" applyFont="true" applyBorder="true" applyAlignment="true" applyProtection="false">
      <alignment horizontal="general" vertical="bottom" textRotation="0" wrapText="true" indent="0" shrinkToFit="false"/>
      <protection locked="true" hidden="false"/>
    </xf>
    <xf numFmtId="164" fontId="7" fillId="4" borderId="0" xfId="20" applyFont="true" applyBorder="true" applyAlignment="true" applyProtection="false">
      <alignment horizontal="center" vertical="bottom" textRotation="0" wrapText="false" indent="0" shrinkToFit="false"/>
      <protection locked="true" hidden="false"/>
    </xf>
    <xf numFmtId="164" fontId="7" fillId="5" borderId="0" xfId="20" applyFont="true" applyBorder="true" applyAlignment="false" applyProtection="false">
      <alignment horizontal="general" vertical="bottom" textRotation="0" wrapText="fals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xf numFmtId="164" fontId="7" fillId="5" borderId="0" xfId="20" applyFont="true" applyBorder="true" applyAlignment="true" applyProtection="false">
      <alignment horizontal="general" vertical="bottom" textRotation="0" wrapText="true" indent="0" shrinkToFit="false"/>
      <protection locked="true" hidden="false"/>
    </xf>
    <xf numFmtId="164" fontId="9" fillId="0" borderId="0" xfId="20" applyFont="true" applyBorder="true" applyAlignment="false" applyProtection="false">
      <alignment horizontal="general" vertical="bottom" textRotation="0" wrapText="false" indent="0" shrinkToFit="false"/>
      <protection locked="true" hidden="false"/>
    </xf>
    <xf numFmtId="164" fontId="10" fillId="2" borderId="0" xfId="20" applyFont="true" applyBorder="true" applyAlignment="true" applyProtection="false">
      <alignment horizontal="general" vertical="center" textRotation="0" wrapText="false" indent="0" shrinkToFit="false"/>
      <protection locked="true" hidden="false"/>
    </xf>
    <xf numFmtId="164" fontId="11" fillId="3" borderId="0" xfId="20" applyFont="true" applyBorder="true" applyAlignment="true" applyProtection="false">
      <alignment horizontal="general" vertical="center" textRotation="0" wrapText="true" indent="0" shrinkToFit="false"/>
      <protection locked="true" hidden="false"/>
    </xf>
    <xf numFmtId="164" fontId="8" fillId="0" borderId="0" xfId="20" applyFont="true" applyBorder="true" applyAlignment="false" applyProtection="false">
      <alignment horizontal="general" vertical="bottom" textRotation="0" wrapText="false" indent="0" shrinkToFit="false"/>
      <protection locked="true" hidden="false"/>
    </xf>
    <xf numFmtId="164" fontId="7" fillId="6" borderId="0" xfId="20" applyFont="true" applyBorder="true" applyAlignment="true" applyProtection="false">
      <alignment horizontal="center" vertical="bottom" textRotation="0" wrapText="false" indent="0" shrinkToFit="false"/>
      <protection locked="true" hidden="false"/>
    </xf>
    <xf numFmtId="164" fontId="7" fillId="4" borderId="0" xfId="20" applyFont="true" applyBorder="true" applyAlignment="true" applyProtection="false">
      <alignment horizontal="center" vertical="center" textRotation="0" wrapText="true" indent="0" shrinkToFit="false"/>
      <protection locked="true" hidden="false"/>
    </xf>
    <xf numFmtId="164" fontId="13" fillId="0" borderId="0" xfId="20" applyFont="true" applyBorder="true" applyAlignment="true" applyProtection="false">
      <alignment horizontal="general" vertical="top" textRotation="0" wrapText="true" indent="0" shrinkToFit="false"/>
      <protection locked="true" hidden="false"/>
    </xf>
    <xf numFmtId="164" fontId="13" fillId="6" borderId="0" xfId="20" applyFont="true" applyBorder="true" applyAlignment="true" applyProtection="false">
      <alignment horizontal="general" vertical="top" textRotation="0" wrapText="true" indent="0" shrinkToFit="false"/>
      <protection locked="true" hidden="false"/>
    </xf>
    <xf numFmtId="164" fontId="14" fillId="6" borderId="0" xfId="20" applyFont="true" applyBorder="true" applyAlignment="true" applyProtection="false">
      <alignment horizontal="general" vertical="top" textRotation="0" wrapText="true" indent="0" shrinkToFit="false"/>
      <protection locked="true" hidden="false"/>
    </xf>
    <xf numFmtId="164" fontId="14" fillId="0" borderId="0"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3">
    <dxf>
      <font>
        <b val="1"/>
        <color rgb="FF2F641C"/>
      </font>
      <fill>
        <patternFill>
          <bgColor rgb="FFE2F0D9"/>
        </patternFill>
      </fill>
    </dxf>
    <dxf>
      <font>
        <b val="1"/>
        <color rgb="FF9C0006"/>
      </font>
      <fill>
        <patternFill>
          <bgColor rgb="FFFCE4D6"/>
        </patternFill>
      </fill>
    </dxf>
    <dxf>
      <font>
        <b val="1"/>
        <color rgb="FF7F6000"/>
      </font>
      <fill>
        <patternFill>
          <bgColor rgb="FFFFF2CC"/>
        </patternFill>
      </fill>
    </dxf>
  </dxfs>
  <colors>
    <indexedColors>
      <rgbColor rgb="FF000000"/>
      <rgbColor rgb="FFFFFFFF"/>
      <rgbColor rgb="FFFF0000"/>
      <rgbColor rgb="FF00FF00"/>
      <rgbColor rgb="FF0000FF"/>
      <rgbColor rgb="FFFFFF00"/>
      <rgbColor rgb="FFFF00FF"/>
      <rgbColor rgb="FF00FFFF"/>
      <rgbColor rgb="FF9C0006"/>
      <rgbColor rgb="FF2F641C"/>
      <rgbColor rgb="FF000080"/>
      <rgbColor rgb="FF7F6000"/>
      <rgbColor rgb="FF800080"/>
      <rgbColor rgb="FF008080"/>
      <rgbColor rgb="FFC0C0C0"/>
      <rgbColor rgb="FF808080"/>
      <rgbColor rgb="FF9999FF"/>
      <rgbColor rgb="FF993366"/>
      <rgbColor rgb="FFFFF4CC"/>
      <rgbColor rgb="FFD9EAF7"/>
      <rgbColor rgb="FF660066"/>
      <rgbColor rgb="FFFF8080"/>
      <rgbColor rgb="FF0066CC"/>
      <rgbColor rgb="FFF3F4F6"/>
      <rgbColor rgb="FF000080"/>
      <rgbColor rgb="FFFF00FF"/>
      <rgbColor rgb="FFFFFF00"/>
      <rgbColor rgb="FF00FFFF"/>
      <rgbColor rgb="FF800080"/>
      <rgbColor rgb="FF800000"/>
      <rgbColor rgb="FF008080"/>
      <rgbColor rgb="FF0000FF"/>
      <rgbColor rgb="FF00CCFF"/>
      <rgbColor rgb="FFEAF4EA"/>
      <rgbColor rgb="FFE2F0D9"/>
      <rgbColor rgb="FFFFF2CC"/>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4"/>
    <col collapsed="false" customWidth="true" hidden="false" outlineLevel="0" max="3" min="3" style="1" width="62"/>
    <col collapsed="false" customWidth="true" hidden="false" outlineLevel="0" max="8" min="4" style="1" width="16"/>
  </cols>
  <sheetData>
    <row r="1" customFormat="false" ht="27.75" hidden="false" customHeight="true" outlineLevel="0" collapsed="false">
      <c r="A1" s="2" t="s">
        <v>0</v>
      </c>
      <c r="B1" s="2"/>
      <c r="C1" s="2"/>
      <c r="D1" s="2"/>
      <c r="E1" s="2"/>
      <c r="F1" s="2"/>
      <c r="G1" s="2"/>
      <c r="H1" s="2"/>
    </row>
    <row r="3" customFormat="false" ht="36" hidden="false" customHeight="true" outlineLevel="0" collapsed="false">
      <c r="A3" s="3" t="s">
        <v>1</v>
      </c>
      <c r="B3" s="3"/>
      <c r="C3" s="3"/>
      <c r="D3" s="3"/>
      <c r="E3" s="3"/>
      <c r="F3" s="3"/>
      <c r="G3" s="3"/>
      <c r="H3" s="3"/>
    </row>
    <row r="5" customFormat="false" ht="17.15" hidden="false" customHeight="false" outlineLevel="0" collapsed="false">
      <c r="A5" s="4" t="s">
        <v>2</v>
      </c>
      <c r="B5" s="4" t="s">
        <v>3</v>
      </c>
      <c r="D5" s="5" t="s">
        <v>4</v>
      </c>
      <c r="E5" s="5"/>
      <c r="F5" s="5"/>
      <c r="G5" s="5"/>
      <c r="H5" s="5"/>
    </row>
    <row r="6" customFormat="false" ht="32.8" hidden="false" customHeight="false" outlineLevel="0" collapsed="false">
      <c r="A6" s="6" t="s">
        <v>5</v>
      </c>
      <c r="B6" s="7" t="s">
        <v>6</v>
      </c>
      <c r="D6" s="6" t="s">
        <v>7</v>
      </c>
      <c r="E6" s="6" t="s">
        <v>8</v>
      </c>
      <c r="F6" s="6"/>
      <c r="G6" s="6"/>
      <c r="H6" s="6"/>
    </row>
    <row r="7" customFormat="false" ht="93.25" hidden="false" customHeight="false" outlineLevel="0" collapsed="false">
      <c r="A7" s="6" t="s">
        <v>9</v>
      </c>
      <c r="B7" s="7" t="s">
        <v>10</v>
      </c>
      <c r="D7" s="6" t="s">
        <v>11</v>
      </c>
      <c r="E7" s="6" t="s">
        <v>12</v>
      </c>
      <c r="F7" s="6"/>
      <c r="G7" s="6"/>
      <c r="H7" s="6"/>
    </row>
    <row r="8" customFormat="false" ht="93.25" hidden="false" customHeight="false" outlineLevel="0" collapsed="false">
      <c r="A8" s="6" t="s">
        <v>13</v>
      </c>
      <c r="B8" s="7" t="s">
        <v>14</v>
      </c>
      <c r="D8" s="6" t="s">
        <v>15</v>
      </c>
      <c r="E8" s="6" t="s">
        <v>16</v>
      </c>
      <c r="F8" s="6"/>
      <c r="G8" s="6"/>
      <c r="H8" s="6"/>
    </row>
    <row r="9" customFormat="false" ht="120.1" hidden="false" customHeight="false" outlineLevel="0" collapsed="false">
      <c r="D9" s="6" t="s">
        <v>17</v>
      </c>
      <c r="E9" s="6" t="s">
        <v>18</v>
      </c>
      <c r="F9" s="6"/>
      <c r="G9" s="6"/>
      <c r="H9" s="6"/>
    </row>
    <row r="10" customFormat="false" ht="77.6" hidden="false" customHeight="false" outlineLevel="0" collapsed="false">
      <c r="D10" s="6" t="s">
        <v>19</v>
      </c>
      <c r="E10" s="6" t="s">
        <v>20</v>
      </c>
      <c r="F10" s="6"/>
      <c r="G10" s="6"/>
      <c r="H10" s="6"/>
    </row>
    <row r="12" customFormat="false" ht="15" hidden="false" customHeight="false" outlineLevel="0" collapsed="false">
      <c r="A12" s="8" t="s">
        <v>21</v>
      </c>
      <c r="B12" s="8" t="s">
        <v>22</v>
      </c>
      <c r="C12" s="8" t="s">
        <v>23</v>
      </c>
      <c r="D12" s="8" t="s">
        <v>24</v>
      </c>
      <c r="E12" s="8" t="s">
        <v>13</v>
      </c>
      <c r="F12" s="8" t="s">
        <v>25</v>
      </c>
    </row>
    <row r="13" customFormat="false" ht="15" hidden="false" customHeight="false" outlineLevel="0" collapsed="false">
      <c r="A13" s="1" t="s">
        <v>26</v>
      </c>
      <c r="B13" s="1" t="n">
        <f aca="false">SUM(C13:E13)</f>
        <v>25</v>
      </c>
      <c r="C13" s="1" t="n">
        <f aca="false">COUNTIF('Audit 01'!I6:I30,"VALID_TARGET_REFERENCE")</f>
        <v>23</v>
      </c>
      <c r="D13" s="1" t="n">
        <f aca="false">COUNTIF('Audit 01'!I6:I30,"INVALID_TARGET_REFERENCE")</f>
        <v>2</v>
      </c>
      <c r="E13" s="1" t="n">
        <f aca="false">COUNTIF('Audit 01'!I6:I30,"UNCERTAIN")</f>
        <v>0</v>
      </c>
      <c r="F13" s="1" t="n">
        <v>25</v>
      </c>
    </row>
    <row r="14" customFormat="false" ht="15" hidden="false" customHeight="false" outlineLevel="0" collapsed="false">
      <c r="A14" s="1" t="s">
        <v>27</v>
      </c>
      <c r="B14" s="1" t="n">
        <f aca="false">SUM(C14:E14)</f>
        <v>25</v>
      </c>
      <c r="C14" s="1" t="n">
        <f aca="false">COUNTIF('Audit 02'!I6:I30,"VALID_TARGET_REFERENCE")</f>
        <v>23</v>
      </c>
      <c r="D14" s="1" t="n">
        <f aca="false">COUNTIF('Audit 02'!I6:I30,"INVALID_TARGET_REFERENCE")</f>
        <v>2</v>
      </c>
      <c r="E14" s="1" t="n">
        <f aca="false">COUNTIF('Audit 02'!I6:I30,"UNCERTAIN")</f>
        <v>0</v>
      </c>
      <c r="F14" s="1" t="n">
        <v>25</v>
      </c>
    </row>
    <row r="15" customFormat="false" ht="15" hidden="false" customHeight="false" outlineLevel="0" collapsed="false">
      <c r="A15" s="1" t="s">
        <v>28</v>
      </c>
      <c r="B15" s="1" t="n">
        <f aca="false">SUM(C15:E15)</f>
        <v>25</v>
      </c>
      <c r="C15" s="1" t="n">
        <f aca="false">COUNTIF('Audit 03'!I6:I30,"VALID_TARGET_REFERENCE")</f>
        <v>21</v>
      </c>
      <c r="D15" s="1" t="n">
        <f aca="false">COUNTIF('Audit 03'!I6:I30,"INVALID_TARGET_REFERENCE")</f>
        <v>4</v>
      </c>
      <c r="E15" s="1" t="n">
        <f aca="false">COUNTIF('Audit 03'!I6:I30,"UNCERTAIN")</f>
        <v>0</v>
      </c>
      <c r="F15" s="1" t="n">
        <v>25</v>
      </c>
    </row>
    <row r="16" customFormat="false" ht="15" hidden="false" customHeight="false" outlineLevel="0" collapsed="false">
      <c r="A16" s="1" t="s">
        <v>29</v>
      </c>
      <c r="B16" s="1" t="n">
        <f aca="false">SUM(C16:E16)</f>
        <v>25</v>
      </c>
      <c r="C16" s="1" t="n">
        <f aca="false">COUNTIF('Audit 04'!I6:I30,"VALID_TARGET_REFERENCE")</f>
        <v>23</v>
      </c>
      <c r="D16" s="1" t="n">
        <f aca="false">COUNTIF('Audit 04'!I6:I30,"INVALID_TARGET_REFERENCE")</f>
        <v>0</v>
      </c>
      <c r="E16" s="1" t="n">
        <f aca="false">COUNTIF('Audit 04'!I6:I30,"UNCERTAIN")</f>
        <v>2</v>
      </c>
      <c r="F16" s="1" t="n">
        <v>25</v>
      </c>
    </row>
    <row r="17" customFormat="false" ht="15" hidden="false" customHeight="false" outlineLevel="0" collapsed="false">
      <c r="A17" s="1" t="s">
        <v>30</v>
      </c>
      <c r="B17" s="1" t="n">
        <f aca="false">SUM(C17:E17)</f>
        <v>25</v>
      </c>
      <c r="C17" s="1" t="n">
        <f aca="false">COUNTIF('Audit 05'!I6:I30,"VALID_TARGET_REFERENCE")</f>
        <v>21</v>
      </c>
      <c r="D17" s="1" t="n">
        <f aca="false">COUNTIF('Audit 05'!I6:I30,"INVALID_TARGET_REFERENCE")</f>
        <v>2</v>
      </c>
      <c r="E17" s="1" t="n">
        <f aca="false">COUNTIF('Audit 05'!I6:I30,"UNCERTAIN")</f>
        <v>2</v>
      </c>
      <c r="F17" s="1" t="n">
        <v>25</v>
      </c>
    </row>
    <row r="18" customFormat="false" ht="15" hidden="false" customHeight="false" outlineLevel="0" collapsed="false">
      <c r="A18" s="1" t="s">
        <v>31</v>
      </c>
      <c r="B18" s="1" t="n">
        <f aca="false">SUM(C18:E18)</f>
        <v>25</v>
      </c>
      <c r="C18" s="1" t="n">
        <f aca="false">COUNTIF('Audit 06'!I6:I30,"VALID_TARGET_REFERENCE")</f>
        <v>22</v>
      </c>
      <c r="D18" s="1" t="n">
        <f aca="false">COUNTIF('Audit 06'!I6:I30,"INVALID_TARGET_REFERENCE")</f>
        <v>3</v>
      </c>
      <c r="E18" s="1" t="n">
        <f aca="false">COUNTIF('Audit 06'!I6:I30,"UNCERTAIN")</f>
        <v>0</v>
      </c>
      <c r="F18" s="1" t="n">
        <v>25</v>
      </c>
    </row>
    <row r="19" customFormat="false" ht="15" hidden="false" customHeight="false" outlineLevel="0" collapsed="false">
      <c r="A19" s="9" t="s">
        <v>32</v>
      </c>
      <c r="B19" s="9" t="n">
        <f aca="false">SUM(B13:B18)</f>
        <v>150</v>
      </c>
      <c r="C19" s="9" t="n">
        <f aca="false">SUM(C13:C18)</f>
        <v>133</v>
      </c>
      <c r="D19" s="9" t="n">
        <f aca="false">SUM(D13:D18)</f>
        <v>13</v>
      </c>
      <c r="E19" s="9" t="n">
        <f aca="false">SUM(E13:E18)</f>
        <v>4</v>
      </c>
      <c r="F19" s="9" t="n">
        <v>150</v>
      </c>
    </row>
    <row r="22" customFormat="false" ht="15" hidden="false" customHeight="false" outlineLevel="0" collapsed="false">
      <c r="A22" s="10" t="s">
        <v>33</v>
      </c>
      <c r="B22" s="10" t="s">
        <v>34</v>
      </c>
      <c r="C22" s="10" t="s">
        <v>35</v>
      </c>
    </row>
    <row r="23" customFormat="false" ht="15" hidden="false" customHeight="false" outlineLevel="0" collapsed="false">
      <c r="A23" s="6" t="s">
        <v>23</v>
      </c>
      <c r="B23" s="6" t="s">
        <v>36</v>
      </c>
      <c r="C23" s="6" t="s">
        <v>37</v>
      </c>
    </row>
    <row r="24" customFormat="false" ht="28.35" hidden="false" customHeight="false" outlineLevel="0" collapsed="false">
      <c r="A24" s="6" t="s">
        <v>23</v>
      </c>
      <c r="B24" s="6" t="s">
        <v>38</v>
      </c>
      <c r="C24" s="6" t="s">
        <v>39</v>
      </c>
    </row>
    <row r="25" customFormat="false" ht="28.35" hidden="false" customHeight="false" outlineLevel="0" collapsed="false">
      <c r="A25" s="6" t="s">
        <v>23</v>
      </c>
      <c r="B25" s="6" t="s">
        <v>40</v>
      </c>
      <c r="C25" s="6" t="s">
        <v>41</v>
      </c>
    </row>
    <row r="26" customFormat="false" ht="15" hidden="false" customHeight="false" outlineLevel="0" collapsed="false">
      <c r="A26" s="6" t="s">
        <v>24</v>
      </c>
      <c r="B26" s="6" t="s">
        <v>42</v>
      </c>
      <c r="C26" s="6" t="s">
        <v>43</v>
      </c>
    </row>
    <row r="27" customFormat="false" ht="15" hidden="false" customHeight="false" outlineLevel="0" collapsed="false">
      <c r="A27" s="6" t="s">
        <v>24</v>
      </c>
      <c r="B27" s="6" t="s">
        <v>44</v>
      </c>
      <c r="C27" s="6" t="s">
        <v>45</v>
      </c>
    </row>
    <row r="28" customFormat="false" ht="15" hidden="false" customHeight="false" outlineLevel="0" collapsed="false">
      <c r="A28" s="6" t="s">
        <v>24</v>
      </c>
      <c r="B28" s="6" t="s">
        <v>46</v>
      </c>
      <c r="C28" s="6" t="s">
        <v>47</v>
      </c>
    </row>
    <row r="29" customFormat="false" ht="28.35" hidden="false" customHeight="false" outlineLevel="0" collapsed="false">
      <c r="A29" s="6" t="s">
        <v>24</v>
      </c>
      <c r="B29" s="6" t="s">
        <v>48</v>
      </c>
      <c r="C29" s="6" t="s">
        <v>49</v>
      </c>
    </row>
    <row r="30" customFormat="false" ht="15" hidden="false" customHeight="false" outlineLevel="0" collapsed="false">
      <c r="A30" s="6" t="s">
        <v>24</v>
      </c>
      <c r="B30" s="6" t="s">
        <v>50</v>
      </c>
      <c r="C30" s="6" t="s">
        <v>51</v>
      </c>
    </row>
    <row r="31" customFormat="false" ht="15" hidden="false" customHeight="false" outlineLevel="0" collapsed="false">
      <c r="A31" s="6" t="s">
        <v>24</v>
      </c>
      <c r="B31" s="6" t="s">
        <v>52</v>
      </c>
      <c r="C31" s="6" t="s">
        <v>53</v>
      </c>
    </row>
    <row r="32" customFormat="false" ht="15" hidden="false" customHeight="false" outlineLevel="0" collapsed="false">
      <c r="A32" s="6" t="s">
        <v>24</v>
      </c>
      <c r="B32" s="6" t="s">
        <v>54</v>
      </c>
      <c r="C32" s="6" t="s">
        <v>55</v>
      </c>
    </row>
    <row r="33" customFormat="false" ht="15" hidden="false" customHeight="false" outlineLevel="0" collapsed="false">
      <c r="A33" s="6" t="s">
        <v>24</v>
      </c>
      <c r="B33" s="6" t="s">
        <v>56</v>
      </c>
      <c r="C33" s="6" t="s">
        <v>57</v>
      </c>
    </row>
    <row r="34" customFormat="false" ht="15" hidden="false" customHeight="false" outlineLevel="0" collapsed="false">
      <c r="A34" s="6" t="s">
        <v>13</v>
      </c>
      <c r="B34" s="6" t="s">
        <v>58</v>
      </c>
      <c r="C34" s="6" t="s">
        <v>59</v>
      </c>
    </row>
    <row r="35" customFormat="false" ht="15" hidden="false" customHeight="false" outlineLevel="0" collapsed="false">
      <c r="A35" s="6" t="s">
        <v>13</v>
      </c>
      <c r="B35" s="6" t="s">
        <v>60</v>
      </c>
      <c r="C35" s="6" t="s">
        <v>61</v>
      </c>
    </row>
    <row r="38" customFormat="false" ht="15" hidden="false" customHeight="true" outlineLevel="0" collapsed="false">
      <c r="A38" s="11" t="s">
        <v>62</v>
      </c>
      <c r="B38" s="11"/>
      <c r="C38" s="11"/>
      <c r="D38" s="11"/>
      <c r="E38" s="11"/>
      <c r="F38" s="11"/>
      <c r="G38" s="11"/>
      <c r="H38" s="11"/>
    </row>
    <row r="39" customFormat="false" ht="28.35" hidden="false" customHeight="true" outlineLevel="0" collapsed="false">
      <c r="A39" s="6" t="s">
        <v>63</v>
      </c>
      <c r="B39" s="6" t="s">
        <v>64</v>
      </c>
      <c r="C39" s="6"/>
      <c r="D39" s="6"/>
      <c r="E39" s="6"/>
      <c r="F39" s="6"/>
      <c r="G39" s="6"/>
      <c r="H39" s="6"/>
    </row>
    <row r="40" customFormat="false" ht="15" hidden="false" customHeight="true" outlineLevel="0" collapsed="false">
      <c r="A40" s="6" t="s">
        <v>65</v>
      </c>
      <c r="B40" s="6" t="s">
        <v>66</v>
      </c>
      <c r="C40" s="6"/>
      <c r="D40" s="6"/>
      <c r="E40" s="6"/>
      <c r="F40" s="6"/>
      <c r="G40" s="6"/>
      <c r="H40" s="6"/>
    </row>
    <row r="41" customFormat="false" ht="28.35" hidden="false" customHeight="true" outlineLevel="0" collapsed="false">
      <c r="A41" s="6" t="s">
        <v>67</v>
      </c>
      <c r="B41" s="6" t="s">
        <v>68</v>
      </c>
      <c r="C41" s="6"/>
      <c r="D41" s="6"/>
      <c r="E41" s="6"/>
      <c r="F41" s="6"/>
      <c r="G41" s="6"/>
      <c r="H41" s="6"/>
    </row>
    <row r="42" customFormat="false" ht="15" hidden="false" customHeight="true" outlineLevel="0" collapsed="false">
      <c r="A42" s="6" t="s">
        <v>69</v>
      </c>
      <c r="B42" s="6" t="s">
        <v>70</v>
      </c>
      <c r="C42" s="6"/>
      <c r="D42" s="6"/>
      <c r="E42" s="6"/>
      <c r="F42" s="6"/>
      <c r="G42" s="6"/>
      <c r="H42" s="6"/>
    </row>
  </sheetData>
  <mergeCells count="8">
    <mergeCell ref="A1:H1"/>
    <mergeCell ref="A3:H3"/>
    <mergeCell ref="D5:H5"/>
    <mergeCell ref="A38:H38"/>
    <mergeCell ref="B39:H39"/>
    <mergeCell ref="B40:H40"/>
    <mergeCell ref="B41:H41"/>
    <mergeCell ref="B42:H4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38"/>
  </cols>
  <sheetData>
    <row r="1" customFormat="false" ht="15" hidden="false" customHeight="false" outlineLevel="0" collapsed="false">
      <c r="A1" s="5" t="s">
        <v>33</v>
      </c>
      <c r="B1" s="5" t="s">
        <v>71</v>
      </c>
      <c r="C1" s="5" t="s">
        <v>34</v>
      </c>
      <c r="E1" s="12" t="s">
        <v>72</v>
      </c>
    </row>
    <row r="2" customFormat="false" ht="15" hidden="false" customHeight="false" outlineLevel="0" collapsed="false">
      <c r="A2" s="1" t="s">
        <v>5</v>
      </c>
      <c r="B2" s="1" t="s">
        <v>73</v>
      </c>
      <c r="C2" s="1" t="s">
        <v>36</v>
      </c>
    </row>
    <row r="3" customFormat="false" ht="15" hidden="false" customHeight="false" outlineLevel="0" collapsed="false">
      <c r="A3" s="1" t="s">
        <v>9</v>
      </c>
      <c r="B3" s="1" t="s">
        <v>74</v>
      </c>
      <c r="C3" s="1" t="s">
        <v>38</v>
      </c>
    </row>
    <row r="4" customFormat="false" ht="15" hidden="false" customHeight="false" outlineLevel="0" collapsed="false">
      <c r="A4" s="1" t="s">
        <v>13</v>
      </c>
      <c r="B4" s="1" t="s">
        <v>75</v>
      </c>
      <c r="C4" s="1" t="s">
        <v>40</v>
      </c>
    </row>
    <row r="5" customFormat="false" ht="15" hidden="false" customHeight="false" outlineLevel="0" collapsed="false">
      <c r="C5" s="1" t="s">
        <v>42</v>
      </c>
    </row>
    <row r="6" customFormat="false" ht="15" hidden="false" customHeight="false" outlineLevel="0" collapsed="false">
      <c r="C6" s="1" t="s">
        <v>44</v>
      </c>
    </row>
    <row r="7" customFormat="false" ht="15" hidden="false" customHeight="false" outlineLevel="0" collapsed="false">
      <c r="C7" s="1" t="s">
        <v>46</v>
      </c>
    </row>
    <row r="8" customFormat="false" ht="15" hidden="false" customHeight="false" outlineLevel="0" collapsed="false">
      <c r="C8" s="1" t="s">
        <v>48</v>
      </c>
    </row>
    <row r="9" customFormat="false" ht="15" hidden="false" customHeight="false" outlineLevel="0" collapsed="false">
      <c r="C9" s="1" t="s">
        <v>50</v>
      </c>
    </row>
    <row r="10" customFormat="false" ht="15" hidden="false" customHeight="false" outlineLevel="0" collapsed="false">
      <c r="C10" s="1" t="s">
        <v>52</v>
      </c>
    </row>
    <row r="11" customFormat="false" ht="15" hidden="false" customHeight="false" outlineLevel="0" collapsed="false">
      <c r="C11" s="1" t="s">
        <v>54</v>
      </c>
    </row>
    <row r="12" customFormat="false" ht="15" hidden="false" customHeight="false" outlineLevel="0" collapsed="false">
      <c r="C12" s="1" t="s">
        <v>56</v>
      </c>
    </row>
    <row r="13" customFormat="false" ht="15" hidden="false" customHeight="false" outlineLevel="0" collapsed="false">
      <c r="C13" s="1" t="s">
        <v>58</v>
      </c>
    </row>
    <row r="14" customFormat="false" ht="15" hidden="false" customHeight="false" outlineLevel="0" collapsed="false">
      <c r="C14" s="1" t="s">
        <v>60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20"/>
    <col collapsed="false" customWidth="true" hidden="false" outlineLevel="0" max="4" min="4" style="1" width="36"/>
    <col collapsed="false" customWidth="true" hidden="false" outlineLevel="0" max="5" min="5" style="1" width="42"/>
    <col collapsed="false" customWidth="true" hidden="false" outlineLevel="0" max="6" min="6" style="1" width="9"/>
    <col collapsed="false" customWidth="true" hidden="false" outlineLevel="0" max="7" min="7" style="1" width="13"/>
    <col collapsed="false" customWidth="true" hidden="false" outlineLevel="0" max="8" min="8" style="1" width="28"/>
    <col collapsed="false" customWidth="true" hidden="false" outlineLevel="0" max="9" min="9" style="1" width="26"/>
    <col collapsed="false" customWidth="true" hidden="false" outlineLevel="0" max="10" min="10" style="1" width="13"/>
    <col collapsed="false" customWidth="true" hidden="false" outlineLevel="0" max="12" min="11" style="1" width="34"/>
    <col collapsed="false" customWidth="true" hidden="false" outlineLevel="0" max="13" min="13" style="1" width="24"/>
    <col collapsed="false" customWidth="true" hidden="false" outlineLevel="0" max="14" min="14" style="1" width="16"/>
    <col collapsed="false" customWidth="true" hidden="false" outlineLevel="0" max="15" min="15" style="1" width="18"/>
  </cols>
  <sheetData>
    <row r="1" customFormat="false" ht="25.5" hidden="false" customHeight="true" outlineLevel="0" collapsed="false">
      <c r="A1" s="13" t="s">
        <v>76</v>
      </c>
      <c r="B1" s="13"/>
      <c r="C1" s="13"/>
      <c r="D1" s="13"/>
      <c r="E1" s="13"/>
      <c r="F1" s="13"/>
      <c r="G1" s="13"/>
      <c r="H1" s="13"/>
      <c r="I1" s="13"/>
      <c r="J1" s="13"/>
      <c r="K1" s="13"/>
      <c r="L1" s="13"/>
      <c r="M1" s="13"/>
      <c r="N1" s="13"/>
      <c r="O1" s="13"/>
    </row>
    <row r="2" customFormat="false" ht="31.5" hidden="false" customHeight="true" outlineLevel="0" collapsed="false">
      <c r="A2" s="14" t="s">
        <v>77</v>
      </c>
      <c r="B2" s="14"/>
      <c r="C2" s="14"/>
      <c r="D2" s="14"/>
      <c r="E2" s="14"/>
      <c r="F2" s="14"/>
      <c r="G2" s="14"/>
      <c r="H2" s="14"/>
      <c r="I2" s="14"/>
      <c r="J2" s="14"/>
      <c r="K2" s="14"/>
      <c r="L2" s="14"/>
      <c r="M2" s="14"/>
      <c r="N2" s="14"/>
      <c r="O2" s="14"/>
    </row>
    <row r="4" customFormat="false" ht="15" hidden="false" customHeight="false" outlineLevel="0" collapsed="false">
      <c r="A4" s="15" t="s">
        <v>78</v>
      </c>
      <c r="I4" s="16" t="s">
        <v>33</v>
      </c>
      <c r="J4" s="16" t="s">
        <v>71</v>
      </c>
      <c r="K4" s="16" t="s">
        <v>79</v>
      </c>
      <c r="L4" s="16" t="s">
        <v>80</v>
      </c>
    </row>
    <row r="5" customFormat="false" ht="30" hidden="false" customHeight="true" outlineLevel="0" collapsed="false">
      <c r="A5" s="17" t="s">
        <v>81</v>
      </c>
      <c r="B5" s="17" t="s">
        <v>82</v>
      </c>
      <c r="C5" s="17" t="s">
        <v>83</v>
      </c>
      <c r="D5" s="17" t="s">
        <v>84</v>
      </c>
      <c r="E5" s="17" t="s">
        <v>85</v>
      </c>
      <c r="F5" s="17" t="s">
        <v>86</v>
      </c>
      <c r="G5" s="17" t="s">
        <v>87</v>
      </c>
      <c r="H5" s="17" t="s">
        <v>88</v>
      </c>
      <c r="I5" s="17" t="s">
        <v>33</v>
      </c>
      <c r="J5" s="17" t="s">
        <v>71</v>
      </c>
      <c r="K5" s="17" t="s">
        <v>79</v>
      </c>
      <c r="L5" s="17" t="s">
        <v>80</v>
      </c>
      <c r="M5" s="17" t="s">
        <v>89</v>
      </c>
      <c r="N5" s="17" t="s">
        <v>90</v>
      </c>
      <c r="O5" s="17" t="s">
        <v>91</v>
      </c>
    </row>
    <row r="6" customFormat="false" ht="87.75" hidden="false" customHeight="true" outlineLevel="0" collapsed="false">
      <c r="A6" s="18" t="n">
        <v>1</v>
      </c>
      <c r="B6" s="18" t="s">
        <v>92</v>
      </c>
      <c r="C6" s="18" t="s">
        <v>92</v>
      </c>
      <c r="D6" s="18" t="s">
        <v>93</v>
      </c>
      <c r="E6" s="18" t="s">
        <v>94</v>
      </c>
      <c r="F6" s="18" t="s">
        <v>95</v>
      </c>
      <c r="G6" s="18" t="s">
        <v>96</v>
      </c>
      <c r="H6" s="18" t="s">
        <v>97</v>
      </c>
      <c r="I6" s="19" t="s">
        <v>5</v>
      </c>
      <c r="J6" s="19" t="s">
        <v>73</v>
      </c>
      <c r="K6" s="19" t="s">
        <v>36</v>
      </c>
      <c r="L6" s="20" t="s">
        <v>98</v>
      </c>
      <c r="M6" s="18" t="s">
        <v>99</v>
      </c>
      <c r="N6" s="18" t="s">
        <v>100</v>
      </c>
      <c r="O6" s="18" t="s">
        <v>101</v>
      </c>
    </row>
    <row r="7" customFormat="false" ht="87.75" hidden="false" customHeight="true" outlineLevel="0" collapsed="false">
      <c r="A7" s="18" t="n">
        <v>2</v>
      </c>
      <c r="B7" s="18" t="s">
        <v>102</v>
      </c>
      <c r="C7" s="18" t="s">
        <v>103</v>
      </c>
      <c r="D7" s="18" t="s">
        <v>104</v>
      </c>
      <c r="E7" s="18" t="s">
        <v>105</v>
      </c>
      <c r="F7" s="18" t="s">
        <v>106</v>
      </c>
      <c r="G7" s="18" t="s">
        <v>107</v>
      </c>
      <c r="H7" s="18"/>
      <c r="I7" s="19" t="s">
        <v>9</v>
      </c>
      <c r="J7" s="19" t="s">
        <v>73</v>
      </c>
      <c r="K7" s="19" t="s">
        <v>44</v>
      </c>
      <c r="L7" s="19" t="s">
        <v>108</v>
      </c>
      <c r="M7" s="18" t="s">
        <v>109</v>
      </c>
      <c r="N7" s="18" t="s">
        <v>110</v>
      </c>
      <c r="O7" s="18" t="s">
        <v>111</v>
      </c>
    </row>
    <row r="8" customFormat="false" ht="87.75" hidden="false" customHeight="true" outlineLevel="0" collapsed="false">
      <c r="A8" s="18" t="n">
        <v>3</v>
      </c>
      <c r="B8" s="18" t="s">
        <v>112</v>
      </c>
      <c r="C8" s="18" t="s">
        <v>113</v>
      </c>
      <c r="D8" s="18" t="s">
        <v>114</v>
      </c>
      <c r="E8" s="18" t="s">
        <v>115</v>
      </c>
      <c r="F8" s="18" t="s">
        <v>116</v>
      </c>
      <c r="G8" s="18" t="s">
        <v>117</v>
      </c>
      <c r="H8" s="18"/>
      <c r="I8" s="19" t="s">
        <v>5</v>
      </c>
      <c r="J8" s="19" t="s">
        <v>73</v>
      </c>
      <c r="K8" s="19" t="s">
        <v>36</v>
      </c>
      <c r="L8" s="19"/>
      <c r="M8" s="18" t="s">
        <v>118</v>
      </c>
      <c r="N8" s="18" t="s">
        <v>119</v>
      </c>
      <c r="O8" s="18" t="s">
        <v>120</v>
      </c>
    </row>
    <row r="9" customFormat="false" ht="87.75" hidden="false" customHeight="true" outlineLevel="0" collapsed="false">
      <c r="A9" s="18" t="n">
        <v>4</v>
      </c>
      <c r="B9" s="18" t="s">
        <v>121</v>
      </c>
      <c r="C9" s="18" t="s">
        <v>122</v>
      </c>
      <c r="D9" s="18" t="s">
        <v>123</v>
      </c>
      <c r="E9" s="18" t="s">
        <v>124</v>
      </c>
      <c r="F9" s="18" t="s">
        <v>125</v>
      </c>
      <c r="G9" s="18" t="s">
        <v>126</v>
      </c>
      <c r="H9" s="18" t="s">
        <v>127</v>
      </c>
      <c r="I9" s="19" t="s">
        <v>5</v>
      </c>
      <c r="J9" s="19" t="s">
        <v>73</v>
      </c>
      <c r="K9" s="19" t="s">
        <v>36</v>
      </c>
      <c r="L9" s="20" t="s">
        <v>128</v>
      </c>
      <c r="M9" s="18" t="s">
        <v>129</v>
      </c>
      <c r="N9" s="18" t="s">
        <v>130</v>
      </c>
      <c r="O9" s="18" t="s">
        <v>131</v>
      </c>
    </row>
    <row r="10" customFormat="false" ht="87.75" hidden="false" customHeight="true" outlineLevel="0" collapsed="false">
      <c r="A10" s="18" t="n">
        <v>5</v>
      </c>
      <c r="B10" s="18" t="s">
        <v>132</v>
      </c>
      <c r="C10" s="18" t="s">
        <v>132</v>
      </c>
      <c r="D10" s="18" t="s">
        <v>133</v>
      </c>
      <c r="E10" s="18" t="s">
        <v>134</v>
      </c>
      <c r="F10" s="18" t="s">
        <v>106</v>
      </c>
      <c r="G10" s="18" t="s">
        <v>135</v>
      </c>
      <c r="H10" s="18" t="s">
        <v>136</v>
      </c>
      <c r="I10" s="19" t="s">
        <v>9</v>
      </c>
      <c r="J10" s="19" t="s">
        <v>73</v>
      </c>
      <c r="K10" s="19" t="s">
        <v>44</v>
      </c>
      <c r="L10" s="19" t="s">
        <v>137</v>
      </c>
      <c r="M10" s="18" t="s">
        <v>138</v>
      </c>
      <c r="N10" s="18" t="s">
        <v>139</v>
      </c>
      <c r="O10" s="18" t="s">
        <v>140</v>
      </c>
    </row>
    <row r="11" customFormat="false" ht="87.75" hidden="false" customHeight="true" outlineLevel="0" collapsed="false">
      <c r="A11" s="18" t="n">
        <v>6</v>
      </c>
      <c r="B11" s="18" t="s">
        <v>141</v>
      </c>
      <c r="C11" s="18" t="s">
        <v>141</v>
      </c>
      <c r="D11" s="18" t="s">
        <v>142</v>
      </c>
      <c r="E11" s="18" t="s">
        <v>143</v>
      </c>
      <c r="F11" s="18" t="s">
        <v>144</v>
      </c>
      <c r="G11" s="18" t="s">
        <v>145</v>
      </c>
      <c r="H11" s="18" t="s">
        <v>146</v>
      </c>
      <c r="I11" s="19" t="s">
        <v>5</v>
      </c>
      <c r="J11" s="19" t="s">
        <v>73</v>
      </c>
      <c r="K11" s="19" t="s">
        <v>36</v>
      </c>
      <c r="L11" s="19" t="s">
        <v>147</v>
      </c>
      <c r="M11" s="18" t="s">
        <v>148</v>
      </c>
      <c r="N11" s="18" t="s">
        <v>149</v>
      </c>
      <c r="O11" s="18" t="s">
        <v>150</v>
      </c>
    </row>
    <row r="12" customFormat="false" ht="87.75" hidden="false" customHeight="true" outlineLevel="0" collapsed="false">
      <c r="A12" s="18" t="n">
        <v>7</v>
      </c>
      <c r="B12" s="18" t="s">
        <v>151</v>
      </c>
      <c r="C12" s="18" t="s">
        <v>151</v>
      </c>
      <c r="D12" s="18" t="s">
        <v>152</v>
      </c>
      <c r="E12" s="18" t="s">
        <v>153</v>
      </c>
      <c r="F12" s="18" t="s">
        <v>154</v>
      </c>
      <c r="G12" s="18" t="s">
        <v>155</v>
      </c>
      <c r="H12" s="18" t="s">
        <v>156</v>
      </c>
      <c r="I12" s="19" t="s">
        <v>5</v>
      </c>
      <c r="J12" s="19" t="s">
        <v>74</v>
      </c>
      <c r="K12" s="19" t="s">
        <v>40</v>
      </c>
      <c r="L12" s="20" t="s">
        <v>157</v>
      </c>
      <c r="M12" s="18" t="s">
        <v>158</v>
      </c>
      <c r="N12" s="18" t="s">
        <v>159</v>
      </c>
      <c r="O12" s="18" t="s">
        <v>160</v>
      </c>
    </row>
    <row r="13" customFormat="false" ht="87.75" hidden="false" customHeight="true" outlineLevel="0" collapsed="false">
      <c r="A13" s="18" t="n">
        <v>8</v>
      </c>
      <c r="B13" s="18" t="s">
        <v>161</v>
      </c>
      <c r="C13" s="18" t="s">
        <v>162</v>
      </c>
      <c r="D13" s="18" t="s">
        <v>163</v>
      </c>
      <c r="E13" s="18" t="s">
        <v>164</v>
      </c>
      <c r="F13" s="18" t="s">
        <v>165</v>
      </c>
      <c r="G13" s="18" t="s">
        <v>166</v>
      </c>
      <c r="H13" s="18" t="s">
        <v>167</v>
      </c>
      <c r="I13" s="19" t="s">
        <v>5</v>
      </c>
      <c r="J13" s="19" t="s">
        <v>73</v>
      </c>
      <c r="K13" s="19" t="s">
        <v>40</v>
      </c>
      <c r="L13" s="20" t="s">
        <v>168</v>
      </c>
      <c r="M13" s="18" t="s">
        <v>169</v>
      </c>
      <c r="N13" s="18" t="s">
        <v>170</v>
      </c>
      <c r="O13" s="18" t="s">
        <v>171</v>
      </c>
    </row>
    <row r="14" customFormat="false" ht="87.75" hidden="false" customHeight="true" outlineLevel="0" collapsed="false">
      <c r="A14" s="18" t="n">
        <v>9</v>
      </c>
      <c r="B14" s="18" t="s">
        <v>172</v>
      </c>
      <c r="C14" s="18" t="s">
        <v>173</v>
      </c>
      <c r="D14" s="18" t="s">
        <v>174</v>
      </c>
      <c r="E14" s="18" t="s">
        <v>175</v>
      </c>
      <c r="F14" s="18" t="s">
        <v>106</v>
      </c>
      <c r="G14" s="18" t="s">
        <v>176</v>
      </c>
      <c r="H14" s="18" t="s">
        <v>177</v>
      </c>
      <c r="I14" s="19" t="s">
        <v>5</v>
      </c>
      <c r="J14" s="19" t="s">
        <v>73</v>
      </c>
      <c r="K14" s="19" t="s">
        <v>36</v>
      </c>
      <c r="L14" s="19"/>
      <c r="M14" s="18" t="s">
        <v>178</v>
      </c>
      <c r="N14" s="18" t="s">
        <v>179</v>
      </c>
      <c r="O14" s="18" t="s">
        <v>180</v>
      </c>
    </row>
    <row r="15" customFormat="false" ht="87.75" hidden="false" customHeight="true" outlineLevel="0" collapsed="false">
      <c r="A15" s="18" t="n">
        <v>10</v>
      </c>
      <c r="B15" s="18" t="s">
        <v>132</v>
      </c>
      <c r="C15" s="18" t="s">
        <v>132</v>
      </c>
      <c r="D15" s="18" t="s">
        <v>181</v>
      </c>
      <c r="E15" s="18" t="s">
        <v>182</v>
      </c>
      <c r="F15" s="18" t="s">
        <v>183</v>
      </c>
      <c r="G15" s="18" t="s">
        <v>184</v>
      </c>
      <c r="H15" s="18" t="s">
        <v>185</v>
      </c>
      <c r="I15" s="19" t="s">
        <v>5</v>
      </c>
      <c r="J15" s="19" t="s">
        <v>74</v>
      </c>
      <c r="K15" s="19" t="s">
        <v>40</v>
      </c>
      <c r="L15" s="20" t="s">
        <v>186</v>
      </c>
      <c r="M15" s="18" t="s">
        <v>187</v>
      </c>
      <c r="N15" s="18" t="s">
        <v>139</v>
      </c>
      <c r="O15" s="18" t="s">
        <v>188</v>
      </c>
    </row>
    <row r="16" customFormat="false" ht="87.75" hidden="false" customHeight="true" outlineLevel="0" collapsed="false">
      <c r="A16" s="18" t="n">
        <v>11</v>
      </c>
      <c r="B16" s="18" t="s">
        <v>189</v>
      </c>
      <c r="C16" s="18" t="s">
        <v>190</v>
      </c>
      <c r="D16" s="18" t="s">
        <v>191</v>
      </c>
      <c r="E16" s="18" t="s">
        <v>192</v>
      </c>
      <c r="F16" s="18" t="s">
        <v>125</v>
      </c>
      <c r="G16" s="18" t="s">
        <v>193</v>
      </c>
      <c r="H16" s="18" t="s">
        <v>194</v>
      </c>
      <c r="I16" s="19" t="s">
        <v>5</v>
      </c>
      <c r="J16" s="19" t="s">
        <v>73</v>
      </c>
      <c r="K16" s="19" t="s">
        <v>36</v>
      </c>
      <c r="L16" s="19" t="s">
        <v>195</v>
      </c>
      <c r="M16" s="18" t="s">
        <v>196</v>
      </c>
      <c r="N16" s="18" t="s">
        <v>197</v>
      </c>
      <c r="O16" s="18" t="s">
        <v>198</v>
      </c>
    </row>
    <row r="17" customFormat="false" ht="87.75" hidden="false" customHeight="true" outlineLevel="0" collapsed="false">
      <c r="A17" s="18" t="n">
        <v>12</v>
      </c>
      <c r="B17" s="18" t="s">
        <v>92</v>
      </c>
      <c r="C17" s="18" t="s">
        <v>92</v>
      </c>
      <c r="D17" s="18" t="s">
        <v>199</v>
      </c>
      <c r="E17" s="18"/>
      <c r="F17" s="18" t="s">
        <v>200</v>
      </c>
      <c r="G17" s="18" t="s">
        <v>201</v>
      </c>
      <c r="H17" s="18"/>
      <c r="I17" s="19" t="s">
        <v>5</v>
      </c>
      <c r="J17" s="19" t="s">
        <v>73</v>
      </c>
      <c r="K17" s="19" t="s">
        <v>36</v>
      </c>
      <c r="L17" s="19"/>
      <c r="M17" s="18" t="s">
        <v>202</v>
      </c>
      <c r="N17" s="18" t="s">
        <v>100</v>
      </c>
      <c r="O17" s="18" t="s">
        <v>203</v>
      </c>
    </row>
    <row r="18" customFormat="false" ht="87.75" hidden="false" customHeight="true" outlineLevel="0" collapsed="false">
      <c r="A18" s="18" t="n">
        <v>13</v>
      </c>
      <c r="B18" s="18" t="s">
        <v>204</v>
      </c>
      <c r="C18" s="18" t="s">
        <v>205</v>
      </c>
      <c r="D18" s="18" t="s">
        <v>206</v>
      </c>
      <c r="E18" s="18"/>
      <c r="F18" s="18" t="s">
        <v>207</v>
      </c>
      <c r="G18" s="18" t="s">
        <v>208</v>
      </c>
      <c r="H18" s="18"/>
      <c r="I18" s="19" t="s">
        <v>5</v>
      </c>
      <c r="J18" s="19" t="s">
        <v>73</v>
      </c>
      <c r="K18" s="19" t="s">
        <v>36</v>
      </c>
      <c r="L18" s="19"/>
      <c r="M18" s="18" t="s">
        <v>209</v>
      </c>
      <c r="N18" s="18" t="s">
        <v>210</v>
      </c>
      <c r="O18" s="18" t="s">
        <v>211</v>
      </c>
    </row>
    <row r="19" customFormat="false" ht="87.75" hidden="false" customHeight="true" outlineLevel="0" collapsed="false">
      <c r="A19" s="18" t="n">
        <v>14</v>
      </c>
      <c r="B19" s="18" t="s">
        <v>189</v>
      </c>
      <c r="C19" s="18" t="s">
        <v>190</v>
      </c>
      <c r="D19" s="18" t="s">
        <v>212</v>
      </c>
      <c r="E19" s="18" t="s">
        <v>213</v>
      </c>
      <c r="F19" s="18" t="s">
        <v>214</v>
      </c>
      <c r="G19" s="18" t="s">
        <v>215</v>
      </c>
      <c r="H19" s="18" t="s">
        <v>216</v>
      </c>
      <c r="I19" s="19" t="s">
        <v>5</v>
      </c>
      <c r="J19" s="19" t="s">
        <v>73</v>
      </c>
      <c r="K19" s="19" t="s">
        <v>36</v>
      </c>
      <c r="L19" s="19"/>
      <c r="M19" s="18" t="s">
        <v>217</v>
      </c>
      <c r="N19" s="18" t="s">
        <v>218</v>
      </c>
      <c r="O19" s="18" t="s">
        <v>219</v>
      </c>
    </row>
    <row r="20" customFormat="false" ht="87.75" hidden="false" customHeight="true" outlineLevel="0" collapsed="false">
      <c r="A20" s="18" t="n">
        <v>15</v>
      </c>
      <c r="B20" s="18" t="s">
        <v>220</v>
      </c>
      <c r="C20" s="18" t="s">
        <v>221</v>
      </c>
      <c r="D20" s="18" t="s">
        <v>222</v>
      </c>
      <c r="E20" s="18" t="s">
        <v>223</v>
      </c>
      <c r="F20" s="18" t="s">
        <v>224</v>
      </c>
      <c r="G20" s="18" t="s">
        <v>225</v>
      </c>
      <c r="H20" s="18"/>
      <c r="I20" s="19" t="s">
        <v>5</v>
      </c>
      <c r="J20" s="19" t="s">
        <v>73</v>
      </c>
      <c r="K20" s="19" t="s">
        <v>36</v>
      </c>
      <c r="L20" s="19"/>
      <c r="M20" s="18" t="s">
        <v>226</v>
      </c>
      <c r="N20" s="18" t="s">
        <v>227</v>
      </c>
      <c r="O20" s="18" t="s">
        <v>228</v>
      </c>
    </row>
    <row r="21" customFormat="false" ht="87.75" hidden="false" customHeight="true" outlineLevel="0" collapsed="false">
      <c r="A21" s="18" t="n">
        <v>16</v>
      </c>
      <c r="B21" s="18" t="s">
        <v>229</v>
      </c>
      <c r="C21" s="18" t="s">
        <v>230</v>
      </c>
      <c r="D21" s="18" t="s">
        <v>231</v>
      </c>
      <c r="E21" s="18" t="s">
        <v>232</v>
      </c>
      <c r="F21" s="18" t="s">
        <v>233</v>
      </c>
      <c r="G21" s="18" t="s">
        <v>234</v>
      </c>
      <c r="H21" s="18"/>
      <c r="I21" s="19" t="s">
        <v>5</v>
      </c>
      <c r="J21" s="19" t="s">
        <v>73</v>
      </c>
      <c r="K21" s="19" t="s">
        <v>36</v>
      </c>
      <c r="L21" s="19" t="s">
        <v>235</v>
      </c>
      <c r="M21" s="18" t="s">
        <v>236</v>
      </c>
      <c r="N21" s="18" t="s">
        <v>237</v>
      </c>
      <c r="O21" s="18" t="s">
        <v>238</v>
      </c>
    </row>
    <row r="22" customFormat="false" ht="87.75" hidden="false" customHeight="true" outlineLevel="0" collapsed="false">
      <c r="A22" s="18" t="n">
        <v>17</v>
      </c>
      <c r="B22" s="18" t="s">
        <v>132</v>
      </c>
      <c r="C22" s="18" t="s">
        <v>132</v>
      </c>
      <c r="D22" s="18" t="s">
        <v>239</v>
      </c>
      <c r="E22" s="18" t="s">
        <v>240</v>
      </c>
      <c r="F22" s="18" t="s">
        <v>241</v>
      </c>
      <c r="G22" s="18" t="s">
        <v>242</v>
      </c>
      <c r="H22" s="18" t="s">
        <v>243</v>
      </c>
      <c r="I22" s="19" t="s">
        <v>5</v>
      </c>
      <c r="J22" s="19" t="s">
        <v>74</v>
      </c>
      <c r="K22" s="19" t="s">
        <v>40</v>
      </c>
      <c r="L22" s="20" t="s">
        <v>244</v>
      </c>
      <c r="M22" s="18" t="s">
        <v>245</v>
      </c>
      <c r="N22" s="18" t="s">
        <v>139</v>
      </c>
      <c r="O22" s="18" t="s">
        <v>246</v>
      </c>
    </row>
    <row r="23" customFormat="false" ht="87.75" hidden="false" customHeight="true" outlineLevel="0" collapsed="false">
      <c r="A23" s="18" t="n">
        <v>18</v>
      </c>
      <c r="B23" s="18" t="s">
        <v>132</v>
      </c>
      <c r="C23" s="18" t="s">
        <v>132</v>
      </c>
      <c r="D23" s="18" t="s">
        <v>247</v>
      </c>
      <c r="E23" s="18"/>
      <c r="F23" s="18"/>
      <c r="G23" s="18"/>
      <c r="H23" s="18"/>
      <c r="I23" s="19" t="s">
        <v>5</v>
      </c>
      <c r="J23" s="19" t="s">
        <v>74</v>
      </c>
      <c r="K23" s="19" t="s">
        <v>40</v>
      </c>
      <c r="L23" s="20" t="s">
        <v>248</v>
      </c>
      <c r="M23" s="18" t="s">
        <v>249</v>
      </c>
      <c r="N23" s="18" t="s">
        <v>139</v>
      </c>
      <c r="O23" s="18" t="s">
        <v>250</v>
      </c>
    </row>
    <row r="24" customFormat="false" ht="87.75" hidden="false" customHeight="true" outlineLevel="0" collapsed="false">
      <c r="A24" s="18" t="n">
        <v>19</v>
      </c>
      <c r="B24" s="18" t="s">
        <v>251</v>
      </c>
      <c r="C24" s="18" t="s">
        <v>252</v>
      </c>
      <c r="D24" s="18" t="s">
        <v>253</v>
      </c>
      <c r="E24" s="18" t="s">
        <v>254</v>
      </c>
      <c r="F24" s="18" t="s">
        <v>106</v>
      </c>
      <c r="G24" s="18" t="s">
        <v>255</v>
      </c>
      <c r="H24" s="18" t="s">
        <v>256</v>
      </c>
      <c r="I24" s="19" t="s">
        <v>5</v>
      </c>
      <c r="J24" s="19" t="s">
        <v>73</v>
      </c>
      <c r="K24" s="19" t="s">
        <v>36</v>
      </c>
      <c r="L24" s="19" t="s">
        <v>257</v>
      </c>
      <c r="M24" s="18" t="s">
        <v>258</v>
      </c>
      <c r="N24" s="18" t="s">
        <v>259</v>
      </c>
      <c r="O24" s="18" t="s">
        <v>260</v>
      </c>
    </row>
    <row r="25" customFormat="false" ht="87.75" hidden="false" customHeight="true" outlineLevel="0" collapsed="false">
      <c r="A25" s="18" t="n">
        <v>20</v>
      </c>
      <c r="B25" s="18" t="s">
        <v>261</v>
      </c>
      <c r="C25" s="18" t="s">
        <v>262</v>
      </c>
      <c r="D25" s="18" t="s">
        <v>263</v>
      </c>
      <c r="E25" s="18" t="s">
        <v>264</v>
      </c>
      <c r="F25" s="18" t="s">
        <v>265</v>
      </c>
      <c r="G25" s="18" t="s">
        <v>266</v>
      </c>
      <c r="H25" s="18" t="s">
        <v>267</v>
      </c>
      <c r="I25" s="19" t="s">
        <v>5</v>
      </c>
      <c r="J25" s="19" t="s">
        <v>74</v>
      </c>
      <c r="K25" s="19" t="s">
        <v>40</v>
      </c>
      <c r="L25" s="20" t="s">
        <v>268</v>
      </c>
      <c r="M25" s="18" t="s">
        <v>269</v>
      </c>
      <c r="N25" s="18" t="s">
        <v>270</v>
      </c>
      <c r="O25" s="18" t="s">
        <v>271</v>
      </c>
    </row>
    <row r="26" customFormat="false" ht="87.75" hidden="false" customHeight="true" outlineLevel="0" collapsed="false">
      <c r="A26" s="18" t="n">
        <v>21</v>
      </c>
      <c r="B26" s="18" t="s">
        <v>229</v>
      </c>
      <c r="C26" s="18" t="s">
        <v>230</v>
      </c>
      <c r="D26" s="18" t="s">
        <v>272</v>
      </c>
      <c r="E26" s="18"/>
      <c r="F26" s="18" t="s">
        <v>116</v>
      </c>
      <c r="G26" s="18" t="s">
        <v>273</v>
      </c>
      <c r="H26" s="18" t="s">
        <v>274</v>
      </c>
      <c r="I26" s="19" t="s">
        <v>5</v>
      </c>
      <c r="J26" s="19" t="s">
        <v>73</v>
      </c>
      <c r="K26" s="19" t="s">
        <v>36</v>
      </c>
      <c r="L26" s="20" t="s">
        <v>275</v>
      </c>
      <c r="M26" s="18" t="s">
        <v>276</v>
      </c>
      <c r="N26" s="18" t="s">
        <v>237</v>
      </c>
      <c r="O26" s="18" t="s">
        <v>277</v>
      </c>
    </row>
    <row r="27" customFormat="false" ht="87.75" hidden="false" customHeight="true" outlineLevel="0" collapsed="false">
      <c r="A27" s="18" t="n">
        <v>22</v>
      </c>
      <c r="B27" s="18" t="s">
        <v>278</v>
      </c>
      <c r="C27" s="18" t="s">
        <v>279</v>
      </c>
      <c r="D27" s="18" t="s">
        <v>280</v>
      </c>
      <c r="E27" s="18"/>
      <c r="F27" s="18" t="s">
        <v>281</v>
      </c>
      <c r="G27" s="18" t="s">
        <v>282</v>
      </c>
      <c r="H27" s="18"/>
      <c r="I27" s="19" t="s">
        <v>5</v>
      </c>
      <c r="J27" s="19" t="s">
        <v>73</v>
      </c>
      <c r="K27" s="19" t="s">
        <v>36</v>
      </c>
      <c r="L27" s="19"/>
      <c r="M27" s="18" t="s">
        <v>283</v>
      </c>
      <c r="N27" s="18" t="s">
        <v>284</v>
      </c>
      <c r="O27" s="18" t="s">
        <v>285</v>
      </c>
    </row>
    <row r="28" customFormat="false" ht="87.75" hidden="false" customHeight="true" outlineLevel="0" collapsed="false">
      <c r="A28" s="18" t="n">
        <v>23</v>
      </c>
      <c r="B28" s="18" t="s">
        <v>286</v>
      </c>
      <c r="C28" s="18" t="s">
        <v>286</v>
      </c>
      <c r="D28" s="18" t="s">
        <v>287</v>
      </c>
      <c r="E28" s="18" t="s">
        <v>288</v>
      </c>
      <c r="F28" s="18" t="s">
        <v>289</v>
      </c>
      <c r="G28" s="18" t="s">
        <v>290</v>
      </c>
      <c r="H28" s="18"/>
      <c r="I28" s="19" t="s">
        <v>5</v>
      </c>
      <c r="J28" s="19" t="s">
        <v>73</v>
      </c>
      <c r="K28" s="19" t="s">
        <v>36</v>
      </c>
      <c r="L28" s="19" t="s">
        <v>291</v>
      </c>
      <c r="M28" s="18" t="s">
        <v>292</v>
      </c>
      <c r="N28" s="18" t="s">
        <v>293</v>
      </c>
      <c r="O28" s="18" t="s">
        <v>294</v>
      </c>
    </row>
    <row r="29" customFormat="false" ht="87.75" hidden="false" customHeight="true" outlineLevel="0" collapsed="false">
      <c r="A29" s="18" t="n">
        <v>24</v>
      </c>
      <c r="B29" s="18" t="s">
        <v>295</v>
      </c>
      <c r="C29" s="18" t="s">
        <v>92</v>
      </c>
      <c r="D29" s="18" t="s">
        <v>296</v>
      </c>
      <c r="E29" s="18" t="s">
        <v>297</v>
      </c>
      <c r="F29" s="18" t="s">
        <v>298</v>
      </c>
      <c r="G29" s="18" t="s">
        <v>299</v>
      </c>
      <c r="H29" s="18"/>
      <c r="I29" s="19" t="s">
        <v>5</v>
      </c>
      <c r="J29" s="19" t="s">
        <v>73</v>
      </c>
      <c r="K29" s="19" t="s">
        <v>36</v>
      </c>
      <c r="L29" s="19"/>
      <c r="M29" s="18" t="s">
        <v>300</v>
      </c>
      <c r="N29" s="18" t="s">
        <v>301</v>
      </c>
      <c r="O29" s="18" t="s">
        <v>302</v>
      </c>
    </row>
    <row r="30" customFormat="false" ht="87.75" hidden="false" customHeight="true" outlineLevel="0" collapsed="false">
      <c r="A30" s="18" t="n">
        <v>25</v>
      </c>
      <c r="B30" s="18" t="s">
        <v>221</v>
      </c>
      <c r="C30" s="18" t="s">
        <v>221</v>
      </c>
      <c r="D30" s="18" t="s">
        <v>303</v>
      </c>
      <c r="E30" s="18"/>
      <c r="F30" s="18" t="s">
        <v>233</v>
      </c>
      <c r="G30" s="18" t="s">
        <v>304</v>
      </c>
      <c r="H30" s="18" t="s">
        <v>305</v>
      </c>
      <c r="I30" s="19" t="s">
        <v>5</v>
      </c>
      <c r="J30" s="19" t="s">
        <v>73</v>
      </c>
      <c r="K30" s="19" t="s">
        <v>36</v>
      </c>
      <c r="L30" s="19"/>
      <c r="M30" s="18" t="s">
        <v>306</v>
      </c>
      <c r="N30" s="18" t="s">
        <v>307</v>
      </c>
      <c r="O30" s="18" t="s">
        <v>308</v>
      </c>
    </row>
  </sheetData>
  <mergeCells count="2">
    <mergeCell ref="A1:O1"/>
    <mergeCell ref="A2:O2"/>
  </mergeCells>
  <conditionalFormatting sqref="I6:I30">
    <cfRule type="expression" priority="2" aboveAverage="0" equalAverage="0" bottom="0" percent="0" rank="0" text="" dxfId="0">
      <formula>I6="VALID_TARGET_REFERENCE"</formula>
    </cfRule>
    <cfRule type="expression" priority="3" aboveAverage="0" equalAverage="0" bottom="0" percent="0" rank="0" text="" dxfId="1">
      <formula>I6="INVALID_TARGET_REFERENCE"</formula>
    </cfRule>
    <cfRule type="expression" priority="4" aboveAverage="0" equalAverage="0" bottom="0" percent="0" rank="0" text="" dxfId="2">
      <formula>I6="UNCERTAIN"</formula>
    </cfRule>
  </conditionalFormatting>
  <dataValidations count="3">
    <dataValidation allowBlank="false" errorStyle="stop" operator="between" showDropDown="false" showErrorMessage="false" showInputMessage="false" sqref="I6:I30" type="list">
      <formula1>Lists!$A$2:$A$4</formula1>
      <formula2>0</formula2>
    </dataValidation>
    <dataValidation allowBlank="false" errorStyle="stop" operator="between" showDropDown="false" showErrorMessage="false" showInputMessage="false" sqref="J6:J30" type="list">
      <formula1>Lists!$B$2:$B$4</formula1>
      <formula2>0</formula2>
    </dataValidation>
    <dataValidation allowBlank="false" errorStyle="stop" operator="between" showDropDown="false" showErrorMessage="false" showInputMessage="false" sqref="K6:K30" type="list">
      <formula1>Lists!$C$2:$C$14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20"/>
    <col collapsed="false" customWidth="true" hidden="false" outlineLevel="0" max="4" min="4" style="1" width="36"/>
    <col collapsed="false" customWidth="true" hidden="false" outlineLevel="0" max="5" min="5" style="1" width="42"/>
    <col collapsed="false" customWidth="true" hidden="false" outlineLevel="0" max="6" min="6" style="1" width="9"/>
    <col collapsed="false" customWidth="true" hidden="false" outlineLevel="0" max="7" min="7" style="1" width="13"/>
    <col collapsed="false" customWidth="true" hidden="false" outlineLevel="0" max="8" min="8" style="1" width="28"/>
    <col collapsed="false" customWidth="true" hidden="false" outlineLevel="0" max="9" min="9" style="1" width="26"/>
    <col collapsed="false" customWidth="true" hidden="false" outlineLevel="0" max="10" min="10" style="1" width="13"/>
    <col collapsed="false" customWidth="true" hidden="false" outlineLevel="0" max="12" min="11" style="1" width="34"/>
    <col collapsed="false" customWidth="true" hidden="false" outlineLevel="0" max="13" min="13" style="1" width="24"/>
    <col collapsed="false" customWidth="true" hidden="false" outlineLevel="0" max="14" min="14" style="1" width="16"/>
    <col collapsed="false" customWidth="true" hidden="false" outlineLevel="0" max="15" min="15" style="1" width="18"/>
  </cols>
  <sheetData>
    <row r="1" customFormat="false" ht="25.5" hidden="false" customHeight="true" outlineLevel="0" collapsed="false">
      <c r="A1" s="13" t="s">
        <v>309</v>
      </c>
      <c r="B1" s="13"/>
      <c r="C1" s="13"/>
      <c r="D1" s="13"/>
      <c r="E1" s="13"/>
      <c r="F1" s="13"/>
      <c r="G1" s="13"/>
      <c r="H1" s="13"/>
      <c r="I1" s="13"/>
      <c r="J1" s="13"/>
      <c r="K1" s="13"/>
      <c r="L1" s="13"/>
      <c r="M1" s="13"/>
      <c r="N1" s="13"/>
      <c r="O1" s="13"/>
    </row>
    <row r="2" customFormat="false" ht="31.5" hidden="false" customHeight="true" outlineLevel="0" collapsed="false">
      <c r="A2" s="14" t="s">
        <v>77</v>
      </c>
      <c r="B2" s="14"/>
      <c r="C2" s="14"/>
      <c r="D2" s="14"/>
      <c r="E2" s="14"/>
      <c r="F2" s="14"/>
      <c r="G2" s="14"/>
      <c r="H2" s="14"/>
      <c r="I2" s="14"/>
      <c r="J2" s="14"/>
      <c r="K2" s="14"/>
      <c r="L2" s="14"/>
      <c r="M2" s="14"/>
      <c r="N2" s="14"/>
      <c r="O2" s="14"/>
    </row>
    <row r="4" customFormat="false" ht="15" hidden="false" customHeight="false" outlineLevel="0" collapsed="false">
      <c r="A4" s="15" t="s">
        <v>78</v>
      </c>
      <c r="I4" s="16" t="s">
        <v>33</v>
      </c>
      <c r="J4" s="16" t="s">
        <v>71</v>
      </c>
      <c r="K4" s="16" t="s">
        <v>79</v>
      </c>
      <c r="L4" s="16" t="s">
        <v>80</v>
      </c>
    </row>
    <row r="5" customFormat="false" ht="30" hidden="false" customHeight="true" outlineLevel="0" collapsed="false">
      <c r="A5" s="17" t="s">
        <v>81</v>
      </c>
      <c r="B5" s="17" t="s">
        <v>82</v>
      </c>
      <c r="C5" s="17" t="s">
        <v>83</v>
      </c>
      <c r="D5" s="17" t="s">
        <v>84</v>
      </c>
      <c r="E5" s="17" t="s">
        <v>85</v>
      </c>
      <c r="F5" s="17" t="s">
        <v>86</v>
      </c>
      <c r="G5" s="17" t="s">
        <v>87</v>
      </c>
      <c r="H5" s="17" t="s">
        <v>88</v>
      </c>
      <c r="I5" s="17" t="s">
        <v>33</v>
      </c>
      <c r="J5" s="17" t="s">
        <v>71</v>
      </c>
      <c r="K5" s="17" t="s">
        <v>79</v>
      </c>
      <c r="L5" s="17" t="s">
        <v>80</v>
      </c>
      <c r="M5" s="17" t="s">
        <v>89</v>
      </c>
      <c r="N5" s="17" t="s">
        <v>90</v>
      </c>
      <c r="O5" s="17" t="s">
        <v>91</v>
      </c>
    </row>
    <row r="6" customFormat="false" ht="87.75" hidden="false" customHeight="true" outlineLevel="0" collapsed="false">
      <c r="A6" s="18" t="n">
        <v>26</v>
      </c>
      <c r="B6" s="18" t="s">
        <v>132</v>
      </c>
      <c r="C6" s="18" t="s">
        <v>132</v>
      </c>
      <c r="D6" s="18" t="s">
        <v>310</v>
      </c>
      <c r="E6" s="18" t="s">
        <v>311</v>
      </c>
      <c r="F6" s="18" t="s">
        <v>312</v>
      </c>
      <c r="G6" s="18" t="s">
        <v>313</v>
      </c>
      <c r="H6" s="18" t="s">
        <v>314</v>
      </c>
      <c r="I6" s="19" t="s">
        <v>9</v>
      </c>
      <c r="J6" s="19" t="s">
        <v>73</v>
      </c>
      <c r="K6" s="19" t="s">
        <v>44</v>
      </c>
      <c r="L6" s="19" t="s">
        <v>315</v>
      </c>
      <c r="M6" s="18" t="s">
        <v>316</v>
      </c>
      <c r="N6" s="18" t="s">
        <v>139</v>
      </c>
      <c r="O6" s="18" t="s">
        <v>317</v>
      </c>
    </row>
    <row r="7" customFormat="false" ht="87.75" hidden="false" customHeight="true" outlineLevel="0" collapsed="false">
      <c r="A7" s="18" t="n">
        <v>27</v>
      </c>
      <c r="B7" s="18" t="s">
        <v>151</v>
      </c>
      <c r="C7" s="18" t="s">
        <v>151</v>
      </c>
      <c r="D7" s="18" t="s">
        <v>318</v>
      </c>
      <c r="E7" s="18" t="s">
        <v>319</v>
      </c>
      <c r="F7" s="18" t="s">
        <v>116</v>
      </c>
      <c r="G7" s="18" t="s">
        <v>320</v>
      </c>
      <c r="H7" s="18" t="s">
        <v>321</v>
      </c>
      <c r="I7" s="19" t="s">
        <v>5</v>
      </c>
      <c r="J7" s="19" t="s">
        <v>73</v>
      </c>
      <c r="K7" s="19" t="s">
        <v>36</v>
      </c>
      <c r="L7" s="19"/>
      <c r="M7" s="18" t="s">
        <v>322</v>
      </c>
      <c r="N7" s="18" t="s">
        <v>159</v>
      </c>
      <c r="O7" s="18" t="s">
        <v>323</v>
      </c>
    </row>
    <row r="8" customFormat="false" ht="87.75" hidden="false" customHeight="true" outlineLevel="0" collapsed="false">
      <c r="A8" s="18" t="n">
        <v>28</v>
      </c>
      <c r="B8" s="18" t="s">
        <v>324</v>
      </c>
      <c r="C8" s="18" t="s">
        <v>324</v>
      </c>
      <c r="D8" s="18" t="s">
        <v>325</v>
      </c>
      <c r="E8" s="18"/>
      <c r="F8" s="18" t="s">
        <v>326</v>
      </c>
      <c r="G8" s="18" t="s">
        <v>327</v>
      </c>
      <c r="H8" s="18"/>
      <c r="I8" s="19" t="s">
        <v>5</v>
      </c>
      <c r="J8" s="19" t="s">
        <v>73</v>
      </c>
      <c r="K8" s="19" t="s">
        <v>36</v>
      </c>
      <c r="L8" s="20" t="s">
        <v>328</v>
      </c>
      <c r="M8" s="18" t="s">
        <v>329</v>
      </c>
      <c r="N8" s="18" t="s">
        <v>330</v>
      </c>
      <c r="O8" s="18" t="s">
        <v>331</v>
      </c>
    </row>
    <row r="9" customFormat="false" ht="87.75" hidden="false" customHeight="true" outlineLevel="0" collapsed="false">
      <c r="A9" s="18" t="n">
        <v>29</v>
      </c>
      <c r="B9" s="18" t="s">
        <v>332</v>
      </c>
      <c r="C9" s="18" t="s">
        <v>333</v>
      </c>
      <c r="D9" s="18" t="s">
        <v>334</v>
      </c>
      <c r="E9" s="18" t="s">
        <v>335</v>
      </c>
      <c r="F9" s="18" t="s">
        <v>336</v>
      </c>
      <c r="G9" s="18" t="s">
        <v>337</v>
      </c>
      <c r="H9" s="18" t="s">
        <v>338</v>
      </c>
      <c r="I9" s="19" t="s">
        <v>5</v>
      </c>
      <c r="J9" s="19" t="s">
        <v>74</v>
      </c>
      <c r="K9" s="19" t="s">
        <v>40</v>
      </c>
      <c r="L9" s="19" t="s">
        <v>339</v>
      </c>
      <c r="M9" s="18" t="s">
        <v>340</v>
      </c>
      <c r="N9" s="18" t="s">
        <v>341</v>
      </c>
      <c r="O9" s="18" t="s">
        <v>342</v>
      </c>
    </row>
    <row r="10" customFormat="false" ht="87.75" hidden="false" customHeight="true" outlineLevel="0" collapsed="false">
      <c r="A10" s="18" t="n">
        <v>30</v>
      </c>
      <c r="B10" s="18" t="s">
        <v>204</v>
      </c>
      <c r="C10" s="18" t="s">
        <v>205</v>
      </c>
      <c r="D10" s="18" t="s">
        <v>343</v>
      </c>
      <c r="E10" s="18" t="s">
        <v>344</v>
      </c>
      <c r="F10" s="18" t="s">
        <v>125</v>
      </c>
      <c r="G10" s="18" t="s">
        <v>345</v>
      </c>
      <c r="H10" s="18" t="s">
        <v>346</v>
      </c>
      <c r="I10" s="19" t="s">
        <v>5</v>
      </c>
      <c r="J10" s="19" t="s">
        <v>73</v>
      </c>
      <c r="K10" s="19" t="s">
        <v>36</v>
      </c>
      <c r="L10" s="20" t="s">
        <v>347</v>
      </c>
      <c r="M10" s="18" t="s">
        <v>348</v>
      </c>
      <c r="N10" s="18" t="s">
        <v>210</v>
      </c>
      <c r="O10" s="18" t="s">
        <v>349</v>
      </c>
    </row>
    <row r="11" customFormat="false" ht="87.75" hidden="false" customHeight="true" outlineLevel="0" collapsed="false">
      <c r="A11" s="18" t="n">
        <v>31</v>
      </c>
      <c r="B11" s="18" t="s">
        <v>189</v>
      </c>
      <c r="C11" s="18" t="s">
        <v>190</v>
      </c>
      <c r="D11" s="18" t="s">
        <v>350</v>
      </c>
      <c r="E11" s="18"/>
      <c r="F11" s="18" t="s">
        <v>289</v>
      </c>
      <c r="G11" s="18" t="s">
        <v>351</v>
      </c>
      <c r="H11" s="18"/>
      <c r="I11" s="19" t="s">
        <v>5</v>
      </c>
      <c r="J11" s="19" t="s">
        <v>73</v>
      </c>
      <c r="K11" s="19" t="s">
        <v>36</v>
      </c>
      <c r="L11" s="19"/>
      <c r="M11" s="18" t="s">
        <v>352</v>
      </c>
      <c r="N11" s="18" t="s">
        <v>353</v>
      </c>
      <c r="O11" s="18" t="s">
        <v>354</v>
      </c>
    </row>
    <row r="12" customFormat="false" ht="87.75" hidden="false" customHeight="true" outlineLevel="0" collapsed="false">
      <c r="A12" s="18" t="n">
        <v>32</v>
      </c>
      <c r="B12" s="18" t="s">
        <v>355</v>
      </c>
      <c r="C12" s="18" t="s">
        <v>356</v>
      </c>
      <c r="D12" s="18" t="s">
        <v>357</v>
      </c>
      <c r="E12" s="18" t="s">
        <v>358</v>
      </c>
      <c r="F12" s="18" t="s">
        <v>359</v>
      </c>
      <c r="G12" s="18" t="s">
        <v>360</v>
      </c>
      <c r="H12" s="18" t="s">
        <v>361</v>
      </c>
      <c r="I12" s="19" t="s">
        <v>5</v>
      </c>
      <c r="J12" s="19" t="s">
        <v>73</v>
      </c>
      <c r="K12" s="19" t="s">
        <v>36</v>
      </c>
      <c r="L12" s="20" t="s">
        <v>362</v>
      </c>
      <c r="M12" s="18" t="s">
        <v>363</v>
      </c>
      <c r="N12" s="18" t="s">
        <v>364</v>
      </c>
      <c r="O12" s="18" t="s">
        <v>365</v>
      </c>
    </row>
    <row r="13" customFormat="false" ht="87.75" hidden="false" customHeight="true" outlineLevel="0" collapsed="false">
      <c r="A13" s="18" t="n">
        <v>33</v>
      </c>
      <c r="B13" s="18" t="s">
        <v>220</v>
      </c>
      <c r="C13" s="18" t="s">
        <v>221</v>
      </c>
      <c r="D13" s="18" t="s">
        <v>366</v>
      </c>
      <c r="E13" s="18"/>
      <c r="F13" s="18" t="s">
        <v>367</v>
      </c>
      <c r="G13" s="18" t="s">
        <v>368</v>
      </c>
      <c r="H13" s="18"/>
      <c r="I13" s="19" t="s">
        <v>5</v>
      </c>
      <c r="J13" s="19" t="s">
        <v>73</v>
      </c>
      <c r="K13" s="19" t="s">
        <v>36</v>
      </c>
      <c r="L13" s="19"/>
      <c r="M13" s="18" t="s">
        <v>369</v>
      </c>
      <c r="N13" s="18" t="s">
        <v>227</v>
      </c>
      <c r="O13" s="18" t="s">
        <v>370</v>
      </c>
    </row>
    <row r="14" customFormat="false" ht="87.75" hidden="false" customHeight="true" outlineLevel="0" collapsed="false">
      <c r="A14" s="18" t="n">
        <v>34</v>
      </c>
      <c r="B14" s="18" t="s">
        <v>92</v>
      </c>
      <c r="C14" s="18" t="s">
        <v>92</v>
      </c>
      <c r="D14" s="18" t="s">
        <v>371</v>
      </c>
      <c r="E14" s="18"/>
      <c r="F14" s="18" t="s">
        <v>336</v>
      </c>
      <c r="G14" s="18" t="s">
        <v>372</v>
      </c>
      <c r="H14" s="18" t="s">
        <v>373</v>
      </c>
      <c r="I14" s="19" t="s">
        <v>5</v>
      </c>
      <c r="J14" s="19" t="s">
        <v>73</v>
      </c>
      <c r="K14" s="19" t="s">
        <v>36</v>
      </c>
      <c r="L14" s="19"/>
      <c r="M14" s="18" t="s">
        <v>374</v>
      </c>
      <c r="N14" s="18" t="s">
        <v>100</v>
      </c>
      <c r="O14" s="18" t="s">
        <v>375</v>
      </c>
    </row>
    <row r="15" customFormat="false" ht="87.75" hidden="false" customHeight="true" outlineLevel="0" collapsed="false">
      <c r="A15" s="18" t="n">
        <v>35</v>
      </c>
      <c r="B15" s="18" t="s">
        <v>376</v>
      </c>
      <c r="C15" s="18" t="s">
        <v>377</v>
      </c>
      <c r="D15" s="18" t="s">
        <v>378</v>
      </c>
      <c r="E15" s="18" t="s">
        <v>379</v>
      </c>
      <c r="F15" s="18" t="s">
        <v>289</v>
      </c>
      <c r="G15" s="18" t="s">
        <v>290</v>
      </c>
      <c r="H15" s="18"/>
      <c r="I15" s="19" t="s">
        <v>5</v>
      </c>
      <c r="J15" s="19" t="s">
        <v>74</v>
      </c>
      <c r="K15" s="19" t="s">
        <v>40</v>
      </c>
      <c r="L15" s="20" t="s">
        <v>380</v>
      </c>
      <c r="M15" s="18" t="s">
        <v>381</v>
      </c>
      <c r="N15" s="18" t="s">
        <v>382</v>
      </c>
      <c r="O15" s="18" t="s">
        <v>383</v>
      </c>
    </row>
    <row r="16" customFormat="false" ht="87.75" hidden="false" customHeight="true" outlineLevel="0" collapsed="false">
      <c r="A16" s="18" t="n">
        <v>36</v>
      </c>
      <c r="B16" s="18" t="s">
        <v>384</v>
      </c>
      <c r="C16" s="18" t="s">
        <v>385</v>
      </c>
      <c r="D16" s="18" t="s">
        <v>386</v>
      </c>
      <c r="E16" s="18" t="s">
        <v>387</v>
      </c>
      <c r="F16" s="18" t="s">
        <v>388</v>
      </c>
      <c r="G16" s="18" t="s">
        <v>389</v>
      </c>
      <c r="H16" s="18" t="s">
        <v>390</v>
      </c>
      <c r="I16" s="19" t="s">
        <v>5</v>
      </c>
      <c r="J16" s="19" t="s">
        <v>73</v>
      </c>
      <c r="K16" s="19" t="s">
        <v>36</v>
      </c>
      <c r="L16" s="19"/>
      <c r="M16" s="18" t="s">
        <v>391</v>
      </c>
      <c r="N16" s="18" t="s">
        <v>392</v>
      </c>
      <c r="O16" s="18" t="s">
        <v>393</v>
      </c>
    </row>
    <row r="17" customFormat="false" ht="87.75" hidden="false" customHeight="true" outlineLevel="0" collapsed="false">
      <c r="A17" s="18" t="n">
        <v>37</v>
      </c>
      <c r="B17" s="18" t="s">
        <v>324</v>
      </c>
      <c r="C17" s="18" t="s">
        <v>324</v>
      </c>
      <c r="D17" s="18" t="s">
        <v>394</v>
      </c>
      <c r="E17" s="18"/>
      <c r="F17" s="18" t="s">
        <v>289</v>
      </c>
      <c r="G17" s="18" t="s">
        <v>395</v>
      </c>
      <c r="H17" s="18" t="s">
        <v>396</v>
      </c>
      <c r="I17" s="19" t="s">
        <v>5</v>
      </c>
      <c r="J17" s="19" t="s">
        <v>73</v>
      </c>
      <c r="K17" s="19" t="s">
        <v>36</v>
      </c>
      <c r="L17" s="19"/>
      <c r="M17" s="18" t="s">
        <v>397</v>
      </c>
      <c r="N17" s="18" t="s">
        <v>330</v>
      </c>
      <c r="O17" s="18" t="s">
        <v>398</v>
      </c>
    </row>
    <row r="18" customFormat="false" ht="87.75" hidden="false" customHeight="true" outlineLevel="0" collapsed="false">
      <c r="A18" s="18" t="n">
        <v>38</v>
      </c>
      <c r="B18" s="18" t="s">
        <v>399</v>
      </c>
      <c r="C18" s="18" t="s">
        <v>400</v>
      </c>
      <c r="D18" s="18" t="s">
        <v>401</v>
      </c>
      <c r="E18" s="18" t="s">
        <v>402</v>
      </c>
      <c r="F18" s="18" t="s">
        <v>106</v>
      </c>
      <c r="G18" s="18" t="s">
        <v>403</v>
      </c>
      <c r="H18" s="18" t="s">
        <v>404</v>
      </c>
      <c r="I18" s="19" t="s">
        <v>5</v>
      </c>
      <c r="J18" s="19" t="s">
        <v>74</v>
      </c>
      <c r="K18" s="19" t="s">
        <v>40</v>
      </c>
      <c r="L18" s="20" t="s">
        <v>405</v>
      </c>
      <c r="M18" s="18" t="s">
        <v>406</v>
      </c>
      <c r="N18" s="18" t="s">
        <v>407</v>
      </c>
      <c r="O18" s="18" t="s">
        <v>408</v>
      </c>
    </row>
    <row r="19" customFormat="false" ht="87.75" hidden="false" customHeight="true" outlineLevel="0" collapsed="false">
      <c r="A19" s="18" t="n">
        <v>39</v>
      </c>
      <c r="B19" s="18" t="s">
        <v>409</v>
      </c>
      <c r="C19" s="18" t="s">
        <v>410</v>
      </c>
      <c r="D19" s="18" t="s">
        <v>411</v>
      </c>
      <c r="E19" s="18" t="s">
        <v>412</v>
      </c>
      <c r="F19" s="18" t="s">
        <v>233</v>
      </c>
      <c r="G19" s="18" t="s">
        <v>413</v>
      </c>
      <c r="H19" s="18" t="s">
        <v>414</v>
      </c>
      <c r="I19" s="19" t="s">
        <v>5</v>
      </c>
      <c r="J19" s="19" t="s">
        <v>74</v>
      </c>
      <c r="K19" s="19" t="s">
        <v>40</v>
      </c>
      <c r="L19" s="20" t="s">
        <v>415</v>
      </c>
      <c r="M19" s="18" t="s">
        <v>416</v>
      </c>
      <c r="N19" s="18" t="s">
        <v>417</v>
      </c>
      <c r="O19" s="18" t="s">
        <v>418</v>
      </c>
    </row>
    <row r="20" customFormat="false" ht="87.75" hidden="false" customHeight="true" outlineLevel="0" collapsed="false">
      <c r="A20" s="18" t="n">
        <v>40</v>
      </c>
      <c r="B20" s="18" t="s">
        <v>419</v>
      </c>
      <c r="C20" s="18" t="s">
        <v>420</v>
      </c>
      <c r="D20" s="18" t="s">
        <v>421</v>
      </c>
      <c r="E20" s="18" t="s">
        <v>422</v>
      </c>
      <c r="F20" s="18" t="s">
        <v>214</v>
      </c>
      <c r="G20" s="18" t="s">
        <v>423</v>
      </c>
      <c r="H20" s="18" t="s">
        <v>424</v>
      </c>
      <c r="I20" s="19" t="s">
        <v>5</v>
      </c>
      <c r="J20" s="19" t="s">
        <v>73</v>
      </c>
      <c r="K20" s="19" t="s">
        <v>36</v>
      </c>
      <c r="L20" s="19"/>
      <c r="M20" s="18" t="s">
        <v>425</v>
      </c>
      <c r="N20" s="18" t="s">
        <v>426</v>
      </c>
      <c r="O20" s="18" t="s">
        <v>427</v>
      </c>
    </row>
    <row r="21" customFormat="false" ht="87.75" hidden="false" customHeight="true" outlineLevel="0" collapsed="false">
      <c r="A21" s="18" t="n">
        <v>41</v>
      </c>
      <c r="B21" s="18" t="s">
        <v>428</v>
      </c>
      <c r="C21" s="18" t="s">
        <v>429</v>
      </c>
      <c r="D21" s="18" t="s">
        <v>430</v>
      </c>
      <c r="E21" s="18" t="s">
        <v>431</v>
      </c>
      <c r="F21" s="18" t="s">
        <v>298</v>
      </c>
      <c r="G21" s="18" t="s">
        <v>432</v>
      </c>
      <c r="H21" s="18" t="s">
        <v>433</v>
      </c>
      <c r="I21" s="19" t="s">
        <v>5</v>
      </c>
      <c r="J21" s="19" t="s">
        <v>74</v>
      </c>
      <c r="K21" s="19" t="s">
        <v>36</v>
      </c>
      <c r="L21" s="20" t="s">
        <v>434</v>
      </c>
      <c r="M21" s="18" t="s">
        <v>435</v>
      </c>
      <c r="N21" s="18" t="s">
        <v>436</v>
      </c>
      <c r="O21" s="18" t="s">
        <v>437</v>
      </c>
    </row>
    <row r="22" customFormat="false" ht="87.75" hidden="false" customHeight="true" outlineLevel="0" collapsed="false">
      <c r="A22" s="18" t="n">
        <v>42</v>
      </c>
      <c r="B22" s="18" t="s">
        <v>438</v>
      </c>
      <c r="C22" s="18" t="s">
        <v>439</v>
      </c>
      <c r="D22" s="18" t="s">
        <v>440</v>
      </c>
      <c r="E22" s="18" t="s">
        <v>441</v>
      </c>
      <c r="F22" s="18" t="s">
        <v>442</v>
      </c>
      <c r="G22" s="18" t="s">
        <v>443</v>
      </c>
      <c r="H22" s="18" t="s">
        <v>444</v>
      </c>
      <c r="I22" s="19" t="s">
        <v>5</v>
      </c>
      <c r="J22" s="19" t="s">
        <v>73</v>
      </c>
      <c r="K22" s="19" t="s">
        <v>36</v>
      </c>
      <c r="L22" s="20" t="s">
        <v>445</v>
      </c>
      <c r="M22" s="18" t="s">
        <v>446</v>
      </c>
      <c r="N22" s="18" t="s">
        <v>447</v>
      </c>
      <c r="O22" s="18" t="s">
        <v>448</v>
      </c>
    </row>
    <row r="23" customFormat="false" ht="87.75" hidden="false" customHeight="true" outlineLevel="0" collapsed="false">
      <c r="A23" s="18" t="n">
        <v>43</v>
      </c>
      <c r="B23" s="18" t="s">
        <v>449</v>
      </c>
      <c r="C23" s="18" t="s">
        <v>151</v>
      </c>
      <c r="D23" s="18" t="s">
        <v>450</v>
      </c>
      <c r="E23" s="18" t="s">
        <v>451</v>
      </c>
      <c r="F23" s="18" t="s">
        <v>265</v>
      </c>
      <c r="G23" s="18" t="s">
        <v>452</v>
      </c>
      <c r="H23" s="18" t="s">
        <v>453</v>
      </c>
      <c r="I23" s="19" t="s">
        <v>5</v>
      </c>
      <c r="J23" s="19" t="s">
        <v>73</v>
      </c>
      <c r="K23" s="19" t="s">
        <v>36</v>
      </c>
      <c r="L23" s="19"/>
      <c r="M23" s="18" t="s">
        <v>454</v>
      </c>
      <c r="N23" s="18" t="s">
        <v>455</v>
      </c>
      <c r="O23" s="18" t="s">
        <v>456</v>
      </c>
    </row>
    <row r="24" customFormat="false" ht="87.75" hidden="false" customHeight="true" outlineLevel="0" collapsed="false">
      <c r="A24" s="18" t="n">
        <v>44</v>
      </c>
      <c r="B24" s="18" t="s">
        <v>229</v>
      </c>
      <c r="C24" s="18" t="s">
        <v>230</v>
      </c>
      <c r="D24" s="18" t="s">
        <v>457</v>
      </c>
      <c r="E24" s="18"/>
      <c r="F24" s="18"/>
      <c r="G24" s="18"/>
      <c r="H24" s="18"/>
      <c r="I24" s="19" t="s">
        <v>5</v>
      </c>
      <c r="J24" s="19" t="s">
        <v>73</v>
      </c>
      <c r="K24" s="19" t="s">
        <v>36</v>
      </c>
      <c r="L24" s="19"/>
      <c r="M24" s="18" t="s">
        <v>458</v>
      </c>
      <c r="N24" s="18" t="s">
        <v>237</v>
      </c>
      <c r="O24" s="18" t="s">
        <v>459</v>
      </c>
    </row>
    <row r="25" customFormat="false" ht="87.75" hidden="false" customHeight="true" outlineLevel="0" collapsed="false">
      <c r="A25" s="18" t="n">
        <v>45</v>
      </c>
      <c r="B25" s="18" t="s">
        <v>460</v>
      </c>
      <c r="C25" s="18" t="s">
        <v>461</v>
      </c>
      <c r="D25" s="18" t="s">
        <v>462</v>
      </c>
      <c r="E25" s="18" t="s">
        <v>463</v>
      </c>
      <c r="F25" s="18"/>
      <c r="G25" s="18"/>
      <c r="H25" s="18"/>
      <c r="I25" s="19" t="s">
        <v>5</v>
      </c>
      <c r="J25" s="19" t="s">
        <v>73</v>
      </c>
      <c r="K25" s="19" t="s">
        <v>36</v>
      </c>
      <c r="L25" s="20" t="s">
        <v>464</v>
      </c>
      <c r="M25" s="18" t="s">
        <v>465</v>
      </c>
      <c r="N25" s="18" t="s">
        <v>466</v>
      </c>
      <c r="O25" s="18" t="s">
        <v>467</v>
      </c>
    </row>
    <row r="26" customFormat="false" ht="87.75" hidden="false" customHeight="true" outlineLevel="0" collapsed="false">
      <c r="A26" s="18" t="n">
        <v>46</v>
      </c>
      <c r="B26" s="18" t="s">
        <v>468</v>
      </c>
      <c r="C26" s="18" t="s">
        <v>469</v>
      </c>
      <c r="D26" s="18" t="s">
        <v>470</v>
      </c>
      <c r="E26" s="18" t="s">
        <v>471</v>
      </c>
      <c r="F26" s="18" t="s">
        <v>281</v>
      </c>
      <c r="G26" s="18" t="s">
        <v>472</v>
      </c>
      <c r="H26" s="18"/>
      <c r="I26" s="19" t="s">
        <v>5</v>
      </c>
      <c r="J26" s="19" t="s">
        <v>73</v>
      </c>
      <c r="K26" s="19" t="s">
        <v>36</v>
      </c>
      <c r="L26" s="19"/>
      <c r="M26" s="18" t="s">
        <v>473</v>
      </c>
      <c r="N26" s="18" t="s">
        <v>474</v>
      </c>
      <c r="O26" s="18" t="s">
        <v>475</v>
      </c>
    </row>
    <row r="27" customFormat="false" ht="87.75" hidden="false" customHeight="true" outlineLevel="0" collapsed="false">
      <c r="A27" s="18" t="n">
        <v>47</v>
      </c>
      <c r="B27" s="18" t="s">
        <v>221</v>
      </c>
      <c r="C27" s="18" t="s">
        <v>221</v>
      </c>
      <c r="D27" s="18" t="s">
        <v>476</v>
      </c>
      <c r="E27" s="18" t="s">
        <v>477</v>
      </c>
      <c r="F27" s="18" t="s">
        <v>478</v>
      </c>
      <c r="G27" s="18" t="s">
        <v>479</v>
      </c>
      <c r="H27" s="18" t="s">
        <v>480</v>
      </c>
      <c r="I27" s="19" t="s">
        <v>5</v>
      </c>
      <c r="J27" s="19" t="s">
        <v>73</v>
      </c>
      <c r="K27" s="19" t="s">
        <v>36</v>
      </c>
      <c r="L27" s="20" t="s">
        <v>481</v>
      </c>
      <c r="M27" s="18" t="s">
        <v>482</v>
      </c>
      <c r="N27" s="18" t="s">
        <v>483</v>
      </c>
      <c r="O27" s="18" t="s">
        <v>484</v>
      </c>
    </row>
    <row r="28" customFormat="false" ht="87.75" hidden="false" customHeight="true" outlineLevel="0" collapsed="false">
      <c r="A28" s="18" t="n">
        <v>48</v>
      </c>
      <c r="B28" s="18" t="s">
        <v>485</v>
      </c>
      <c r="C28" s="18" t="s">
        <v>486</v>
      </c>
      <c r="D28" s="21" t="s">
        <v>487</v>
      </c>
      <c r="E28" s="18" t="s">
        <v>488</v>
      </c>
      <c r="F28" s="18" t="s">
        <v>489</v>
      </c>
      <c r="G28" s="18" t="s">
        <v>490</v>
      </c>
      <c r="H28" s="18" t="s">
        <v>491</v>
      </c>
      <c r="I28" s="19" t="s">
        <v>5</v>
      </c>
      <c r="J28" s="19" t="s">
        <v>73</v>
      </c>
      <c r="K28" s="19" t="s">
        <v>38</v>
      </c>
      <c r="L28" s="20" t="s">
        <v>492</v>
      </c>
      <c r="M28" s="18" t="s">
        <v>493</v>
      </c>
      <c r="N28" s="18" t="s">
        <v>494</v>
      </c>
      <c r="O28" s="18" t="s">
        <v>495</v>
      </c>
    </row>
    <row r="29" customFormat="false" ht="87.75" hidden="false" customHeight="true" outlineLevel="0" collapsed="false">
      <c r="A29" s="18" t="n">
        <v>49</v>
      </c>
      <c r="B29" s="18" t="s">
        <v>132</v>
      </c>
      <c r="C29" s="18" t="s">
        <v>132</v>
      </c>
      <c r="D29" s="18" t="s">
        <v>496</v>
      </c>
      <c r="E29" s="18"/>
      <c r="F29" s="18" t="s">
        <v>497</v>
      </c>
      <c r="G29" s="18" t="s">
        <v>498</v>
      </c>
      <c r="H29" s="18" t="s">
        <v>499</v>
      </c>
      <c r="I29" s="19" t="s">
        <v>9</v>
      </c>
      <c r="J29" s="19" t="s">
        <v>73</v>
      </c>
      <c r="K29" s="19" t="s">
        <v>44</v>
      </c>
      <c r="L29" s="19" t="s">
        <v>500</v>
      </c>
      <c r="M29" s="18" t="s">
        <v>501</v>
      </c>
      <c r="N29" s="18" t="s">
        <v>139</v>
      </c>
      <c r="O29" s="18" t="s">
        <v>502</v>
      </c>
    </row>
    <row r="30" customFormat="false" ht="87.75" hidden="false" customHeight="true" outlineLevel="0" collapsed="false">
      <c r="A30" s="18" t="n">
        <v>50</v>
      </c>
      <c r="B30" s="18" t="s">
        <v>503</v>
      </c>
      <c r="C30" s="18" t="s">
        <v>103</v>
      </c>
      <c r="D30" s="18" t="s">
        <v>504</v>
      </c>
      <c r="E30" s="18"/>
      <c r="F30" s="18" t="s">
        <v>505</v>
      </c>
      <c r="G30" s="18" t="s">
        <v>506</v>
      </c>
      <c r="H30" s="18" t="s">
        <v>507</v>
      </c>
      <c r="I30" s="19" t="s">
        <v>5</v>
      </c>
      <c r="J30" s="19" t="s">
        <v>73</v>
      </c>
      <c r="K30" s="19" t="s">
        <v>36</v>
      </c>
      <c r="L30" s="19"/>
      <c r="M30" s="18" t="s">
        <v>508</v>
      </c>
      <c r="N30" s="18" t="s">
        <v>509</v>
      </c>
      <c r="O30" s="18" t="s">
        <v>510</v>
      </c>
    </row>
  </sheetData>
  <mergeCells count="2">
    <mergeCell ref="A1:O1"/>
    <mergeCell ref="A2:O2"/>
  </mergeCells>
  <conditionalFormatting sqref="I6:I30">
    <cfRule type="expression" priority="2" aboveAverage="0" equalAverage="0" bottom="0" percent="0" rank="0" text="" dxfId="0">
      <formula>I6="VALID_TARGET_REFERENCE"</formula>
    </cfRule>
    <cfRule type="expression" priority="3" aboveAverage="0" equalAverage="0" bottom="0" percent="0" rank="0" text="" dxfId="1">
      <formula>I6="INVALID_TARGET_REFERENCE"</formula>
    </cfRule>
    <cfRule type="expression" priority="4" aboveAverage="0" equalAverage="0" bottom="0" percent="0" rank="0" text="" dxfId="2">
      <formula>I6="UNCERTAIN"</formula>
    </cfRule>
  </conditionalFormatting>
  <dataValidations count="3">
    <dataValidation allowBlank="false" errorStyle="stop" operator="between" showDropDown="false" showErrorMessage="false" showInputMessage="false" sqref="I6:I30" type="list">
      <formula1>Lists!$A$2:$A$4</formula1>
      <formula2>0</formula2>
    </dataValidation>
    <dataValidation allowBlank="false" errorStyle="stop" operator="between" showDropDown="false" showErrorMessage="false" showInputMessage="false" sqref="J6:J30" type="list">
      <formula1>Lists!$B$2:$B$4</formula1>
      <formula2>0</formula2>
    </dataValidation>
    <dataValidation allowBlank="false" errorStyle="stop" operator="between" showDropDown="false" showErrorMessage="false" showInputMessage="false" sqref="K6:K30" type="list">
      <formula1>Lists!$C$2:$C$14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20"/>
    <col collapsed="false" customWidth="true" hidden="false" outlineLevel="0" max="4" min="4" style="1" width="36"/>
    <col collapsed="false" customWidth="true" hidden="false" outlineLevel="0" max="5" min="5" style="1" width="42"/>
    <col collapsed="false" customWidth="true" hidden="false" outlineLevel="0" max="6" min="6" style="1" width="9"/>
    <col collapsed="false" customWidth="true" hidden="false" outlineLevel="0" max="7" min="7" style="1" width="13"/>
    <col collapsed="false" customWidth="true" hidden="false" outlineLevel="0" max="8" min="8" style="1" width="28"/>
    <col collapsed="false" customWidth="true" hidden="false" outlineLevel="0" max="9" min="9" style="1" width="26"/>
    <col collapsed="false" customWidth="true" hidden="false" outlineLevel="0" max="10" min="10" style="1" width="13"/>
    <col collapsed="false" customWidth="true" hidden="false" outlineLevel="0" max="12" min="11" style="1" width="34"/>
    <col collapsed="false" customWidth="true" hidden="false" outlineLevel="0" max="13" min="13" style="1" width="24"/>
    <col collapsed="false" customWidth="true" hidden="false" outlineLevel="0" max="14" min="14" style="1" width="16"/>
    <col collapsed="false" customWidth="true" hidden="false" outlineLevel="0" max="15" min="15" style="1" width="18"/>
  </cols>
  <sheetData>
    <row r="1" customFormat="false" ht="25.5" hidden="false" customHeight="true" outlineLevel="0" collapsed="false">
      <c r="A1" s="13" t="s">
        <v>511</v>
      </c>
      <c r="B1" s="13"/>
      <c r="C1" s="13"/>
      <c r="D1" s="13"/>
      <c r="E1" s="13"/>
      <c r="F1" s="13"/>
      <c r="G1" s="13"/>
      <c r="H1" s="13"/>
      <c r="I1" s="13"/>
      <c r="J1" s="13"/>
      <c r="K1" s="13"/>
      <c r="L1" s="13"/>
      <c r="M1" s="13"/>
      <c r="N1" s="13"/>
      <c r="O1" s="13"/>
    </row>
    <row r="2" customFormat="false" ht="31.5" hidden="false" customHeight="true" outlineLevel="0" collapsed="false">
      <c r="A2" s="14" t="s">
        <v>77</v>
      </c>
      <c r="B2" s="14"/>
      <c r="C2" s="14"/>
      <c r="D2" s="14"/>
      <c r="E2" s="14"/>
      <c r="F2" s="14"/>
      <c r="G2" s="14"/>
      <c r="H2" s="14"/>
      <c r="I2" s="14"/>
      <c r="J2" s="14"/>
      <c r="K2" s="14"/>
      <c r="L2" s="14"/>
      <c r="M2" s="14"/>
      <c r="N2" s="14"/>
      <c r="O2" s="14"/>
    </row>
    <row r="4" customFormat="false" ht="15" hidden="false" customHeight="false" outlineLevel="0" collapsed="false">
      <c r="A4" s="15" t="s">
        <v>78</v>
      </c>
      <c r="I4" s="16" t="s">
        <v>33</v>
      </c>
      <c r="J4" s="16" t="s">
        <v>71</v>
      </c>
      <c r="K4" s="16" t="s">
        <v>79</v>
      </c>
      <c r="L4" s="16" t="s">
        <v>80</v>
      </c>
    </row>
    <row r="5" customFormat="false" ht="30" hidden="false" customHeight="true" outlineLevel="0" collapsed="false">
      <c r="A5" s="17" t="s">
        <v>81</v>
      </c>
      <c r="B5" s="17" t="s">
        <v>82</v>
      </c>
      <c r="C5" s="17" t="s">
        <v>83</v>
      </c>
      <c r="D5" s="17" t="s">
        <v>84</v>
      </c>
      <c r="E5" s="17" t="s">
        <v>85</v>
      </c>
      <c r="F5" s="17" t="s">
        <v>86</v>
      </c>
      <c r="G5" s="17" t="s">
        <v>87</v>
      </c>
      <c r="H5" s="17" t="s">
        <v>88</v>
      </c>
      <c r="I5" s="17" t="s">
        <v>33</v>
      </c>
      <c r="J5" s="17" t="s">
        <v>71</v>
      </c>
      <c r="K5" s="17" t="s">
        <v>79</v>
      </c>
      <c r="L5" s="17" t="s">
        <v>80</v>
      </c>
      <c r="M5" s="17" t="s">
        <v>89</v>
      </c>
      <c r="N5" s="17" t="s">
        <v>90</v>
      </c>
      <c r="O5" s="17" t="s">
        <v>91</v>
      </c>
    </row>
    <row r="6" customFormat="false" ht="87.75" hidden="false" customHeight="true" outlineLevel="0" collapsed="false">
      <c r="A6" s="18" t="n">
        <v>51</v>
      </c>
      <c r="B6" s="18" t="s">
        <v>92</v>
      </c>
      <c r="C6" s="18" t="s">
        <v>92</v>
      </c>
      <c r="D6" s="18" t="s">
        <v>512</v>
      </c>
      <c r="E6" s="18" t="s">
        <v>513</v>
      </c>
      <c r="F6" s="18" t="s">
        <v>95</v>
      </c>
      <c r="G6" s="18" t="s">
        <v>96</v>
      </c>
      <c r="H6" s="18" t="s">
        <v>514</v>
      </c>
      <c r="I6" s="19" t="s">
        <v>5</v>
      </c>
      <c r="J6" s="19" t="s">
        <v>73</v>
      </c>
      <c r="K6" s="19" t="s">
        <v>40</v>
      </c>
      <c r="L6" s="20" t="s">
        <v>515</v>
      </c>
      <c r="M6" s="18" t="s">
        <v>516</v>
      </c>
      <c r="N6" s="18" t="s">
        <v>100</v>
      </c>
      <c r="O6" s="18" t="s">
        <v>517</v>
      </c>
    </row>
    <row r="7" customFormat="false" ht="87.75" hidden="false" customHeight="true" outlineLevel="0" collapsed="false">
      <c r="A7" s="18" t="n">
        <v>52</v>
      </c>
      <c r="B7" s="18" t="s">
        <v>92</v>
      </c>
      <c r="C7" s="18" t="s">
        <v>92</v>
      </c>
      <c r="D7" s="18" t="s">
        <v>518</v>
      </c>
      <c r="E7" s="18" t="s">
        <v>519</v>
      </c>
      <c r="F7" s="18" t="s">
        <v>125</v>
      </c>
      <c r="G7" s="18" t="s">
        <v>520</v>
      </c>
      <c r="H7" s="18" t="s">
        <v>521</v>
      </c>
      <c r="I7" s="19" t="s">
        <v>5</v>
      </c>
      <c r="J7" s="19" t="s">
        <v>73</v>
      </c>
      <c r="K7" s="19" t="s">
        <v>36</v>
      </c>
      <c r="L7" s="20" t="s">
        <v>522</v>
      </c>
      <c r="M7" s="18" t="s">
        <v>523</v>
      </c>
      <c r="N7" s="18" t="s">
        <v>100</v>
      </c>
      <c r="O7" s="18" t="s">
        <v>524</v>
      </c>
    </row>
    <row r="8" customFormat="false" ht="87.75" hidden="false" customHeight="true" outlineLevel="0" collapsed="false">
      <c r="A8" s="18" t="n">
        <v>53</v>
      </c>
      <c r="B8" s="18" t="s">
        <v>525</v>
      </c>
      <c r="C8" s="18" t="s">
        <v>526</v>
      </c>
      <c r="D8" s="18" t="s">
        <v>527</v>
      </c>
      <c r="E8" s="18" t="s">
        <v>528</v>
      </c>
      <c r="F8" s="18"/>
      <c r="G8" s="18"/>
      <c r="H8" s="18"/>
      <c r="I8" s="19" t="s">
        <v>5</v>
      </c>
      <c r="J8" s="19" t="s">
        <v>73</v>
      </c>
      <c r="K8" s="19" t="s">
        <v>36</v>
      </c>
      <c r="L8" s="20" t="s">
        <v>529</v>
      </c>
      <c r="M8" s="18" t="s">
        <v>530</v>
      </c>
      <c r="N8" s="18" t="s">
        <v>531</v>
      </c>
      <c r="O8" s="18" t="s">
        <v>532</v>
      </c>
    </row>
    <row r="9" customFormat="false" ht="87.75" hidden="false" customHeight="true" outlineLevel="0" collapsed="false">
      <c r="A9" s="18" t="n">
        <v>54</v>
      </c>
      <c r="B9" s="18" t="s">
        <v>533</v>
      </c>
      <c r="C9" s="18" t="s">
        <v>534</v>
      </c>
      <c r="D9" s="18" t="s">
        <v>535</v>
      </c>
      <c r="E9" s="18" t="s">
        <v>536</v>
      </c>
      <c r="F9" s="18" t="s">
        <v>537</v>
      </c>
      <c r="G9" s="18" t="s">
        <v>538</v>
      </c>
      <c r="H9" s="18"/>
      <c r="I9" s="19" t="s">
        <v>5</v>
      </c>
      <c r="J9" s="19" t="s">
        <v>73</v>
      </c>
      <c r="K9" s="19" t="s">
        <v>36</v>
      </c>
      <c r="L9" s="20" t="s">
        <v>539</v>
      </c>
      <c r="M9" s="18" t="s">
        <v>540</v>
      </c>
      <c r="N9" s="18" t="s">
        <v>541</v>
      </c>
      <c r="O9" s="18" t="s">
        <v>542</v>
      </c>
    </row>
    <row r="10" customFormat="false" ht="87.75" hidden="false" customHeight="true" outlineLevel="0" collapsed="false">
      <c r="A10" s="18" t="n">
        <v>55</v>
      </c>
      <c r="B10" s="18" t="s">
        <v>92</v>
      </c>
      <c r="C10" s="18" t="s">
        <v>92</v>
      </c>
      <c r="D10" s="18" t="s">
        <v>543</v>
      </c>
      <c r="E10" s="18" t="s">
        <v>544</v>
      </c>
      <c r="F10" s="18" t="s">
        <v>125</v>
      </c>
      <c r="G10" s="18" t="s">
        <v>545</v>
      </c>
      <c r="H10" s="18" t="s">
        <v>546</v>
      </c>
      <c r="I10" s="19" t="s">
        <v>5</v>
      </c>
      <c r="J10" s="19" t="s">
        <v>73</v>
      </c>
      <c r="K10" s="19" t="s">
        <v>40</v>
      </c>
      <c r="L10" s="20" t="s">
        <v>547</v>
      </c>
      <c r="M10" s="18" t="s">
        <v>548</v>
      </c>
      <c r="N10" s="18" t="s">
        <v>100</v>
      </c>
      <c r="O10" s="18" t="s">
        <v>549</v>
      </c>
    </row>
    <row r="11" customFormat="false" ht="87.75" hidden="false" customHeight="true" outlineLevel="0" collapsed="false">
      <c r="A11" s="18" t="n">
        <v>56</v>
      </c>
      <c r="B11" s="18" t="s">
        <v>161</v>
      </c>
      <c r="C11" s="18" t="s">
        <v>162</v>
      </c>
      <c r="D11" s="18" t="s">
        <v>550</v>
      </c>
      <c r="E11" s="18" t="s">
        <v>551</v>
      </c>
      <c r="F11" s="18" t="s">
        <v>95</v>
      </c>
      <c r="G11" s="18" t="s">
        <v>552</v>
      </c>
      <c r="H11" s="18" t="s">
        <v>553</v>
      </c>
      <c r="I11" s="19" t="s">
        <v>5</v>
      </c>
      <c r="J11" s="19" t="s">
        <v>73</v>
      </c>
      <c r="K11" s="19" t="s">
        <v>36</v>
      </c>
      <c r="L11" s="19"/>
      <c r="M11" s="18" t="s">
        <v>554</v>
      </c>
      <c r="N11" s="18" t="s">
        <v>170</v>
      </c>
      <c r="O11" s="18" t="s">
        <v>555</v>
      </c>
    </row>
    <row r="12" customFormat="false" ht="87.75" hidden="false" customHeight="true" outlineLevel="0" collapsed="false">
      <c r="A12" s="18" t="n">
        <v>57</v>
      </c>
      <c r="B12" s="18" t="s">
        <v>556</v>
      </c>
      <c r="C12" s="18" t="s">
        <v>557</v>
      </c>
      <c r="D12" s="18" t="s">
        <v>558</v>
      </c>
      <c r="E12" s="18" t="s">
        <v>559</v>
      </c>
      <c r="F12" s="18" t="s">
        <v>336</v>
      </c>
      <c r="G12" s="18" t="s">
        <v>560</v>
      </c>
      <c r="H12" s="18"/>
      <c r="I12" s="19" t="s">
        <v>5</v>
      </c>
      <c r="J12" s="19" t="s">
        <v>73</v>
      </c>
      <c r="K12" s="19" t="s">
        <v>36</v>
      </c>
      <c r="L12" s="19"/>
      <c r="M12" s="18" t="s">
        <v>561</v>
      </c>
      <c r="N12" s="18" t="s">
        <v>562</v>
      </c>
      <c r="O12" s="18" t="s">
        <v>563</v>
      </c>
    </row>
    <row r="13" customFormat="false" ht="87.75" hidden="false" customHeight="true" outlineLevel="0" collapsed="false">
      <c r="A13" s="18" t="n">
        <v>58</v>
      </c>
      <c r="B13" s="18" t="s">
        <v>564</v>
      </c>
      <c r="C13" s="18" t="s">
        <v>400</v>
      </c>
      <c r="D13" s="18" t="s">
        <v>565</v>
      </c>
      <c r="E13" s="18" t="s">
        <v>566</v>
      </c>
      <c r="F13" s="18" t="s">
        <v>497</v>
      </c>
      <c r="G13" s="18" t="s">
        <v>567</v>
      </c>
      <c r="H13" s="18" t="s">
        <v>568</v>
      </c>
      <c r="I13" s="19" t="s">
        <v>5</v>
      </c>
      <c r="J13" s="19" t="s">
        <v>73</v>
      </c>
      <c r="K13" s="19" t="s">
        <v>36</v>
      </c>
      <c r="L13" s="19"/>
      <c r="M13" s="18" t="s">
        <v>569</v>
      </c>
      <c r="N13" s="18" t="s">
        <v>570</v>
      </c>
      <c r="O13" s="18" t="s">
        <v>571</v>
      </c>
    </row>
    <row r="14" customFormat="false" ht="87.75" hidden="false" customHeight="true" outlineLevel="0" collapsed="false">
      <c r="A14" s="18" t="n">
        <v>59</v>
      </c>
      <c r="B14" s="18" t="s">
        <v>572</v>
      </c>
      <c r="C14" s="18" t="s">
        <v>573</v>
      </c>
      <c r="D14" s="18" t="s">
        <v>574</v>
      </c>
      <c r="E14" s="18" t="s">
        <v>575</v>
      </c>
      <c r="F14" s="18" t="s">
        <v>359</v>
      </c>
      <c r="G14" s="18" t="s">
        <v>576</v>
      </c>
      <c r="H14" s="18"/>
      <c r="I14" s="19" t="s">
        <v>5</v>
      </c>
      <c r="J14" s="19" t="s">
        <v>73</v>
      </c>
      <c r="K14" s="19" t="s">
        <v>36</v>
      </c>
      <c r="L14" s="19"/>
      <c r="M14" s="18" t="s">
        <v>577</v>
      </c>
      <c r="N14" s="18" t="s">
        <v>578</v>
      </c>
      <c r="O14" s="18" t="s">
        <v>579</v>
      </c>
    </row>
    <row r="15" customFormat="false" ht="87.75" hidden="false" customHeight="true" outlineLevel="0" collapsed="false">
      <c r="A15" s="18" t="n">
        <v>60</v>
      </c>
      <c r="B15" s="18" t="s">
        <v>580</v>
      </c>
      <c r="C15" s="18" t="s">
        <v>581</v>
      </c>
      <c r="D15" s="18" t="s">
        <v>582</v>
      </c>
      <c r="E15" s="18" t="s">
        <v>583</v>
      </c>
      <c r="F15" s="18" t="s">
        <v>336</v>
      </c>
      <c r="G15" s="18" t="s">
        <v>584</v>
      </c>
      <c r="H15" s="18" t="s">
        <v>585</v>
      </c>
      <c r="I15" s="19" t="s">
        <v>5</v>
      </c>
      <c r="J15" s="19" t="s">
        <v>73</v>
      </c>
      <c r="K15" s="19" t="s">
        <v>36</v>
      </c>
      <c r="L15" s="19"/>
      <c r="M15" s="18" t="s">
        <v>586</v>
      </c>
      <c r="N15" s="18" t="s">
        <v>587</v>
      </c>
      <c r="O15" s="18" t="s">
        <v>588</v>
      </c>
    </row>
    <row r="16" customFormat="false" ht="87.75" hidden="false" customHeight="true" outlineLevel="0" collapsed="false">
      <c r="A16" s="18" t="n">
        <v>61</v>
      </c>
      <c r="B16" s="18" t="s">
        <v>221</v>
      </c>
      <c r="C16" s="18" t="s">
        <v>221</v>
      </c>
      <c r="D16" s="18" t="s">
        <v>589</v>
      </c>
      <c r="E16" s="18" t="s">
        <v>590</v>
      </c>
      <c r="F16" s="18" t="s">
        <v>106</v>
      </c>
      <c r="G16" s="18" t="s">
        <v>591</v>
      </c>
      <c r="H16" s="18" t="s">
        <v>592</v>
      </c>
      <c r="I16" s="19" t="s">
        <v>5</v>
      </c>
      <c r="J16" s="19" t="s">
        <v>74</v>
      </c>
      <c r="K16" s="19" t="s">
        <v>40</v>
      </c>
      <c r="L16" s="20" t="s">
        <v>593</v>
      </c>
      <c r="M16" s="18" t="s">
        <v>594</v>
      </c>
      <c r="N16" s="18" t="s">
        <v>483</v>
      </c>
      <c r="O16" s="18" t="s">
        <v>595</v>
      </c>
    </row>
    <row r="17" customFormat="false" ht="87.75" hidden="false" customHeight="true" outlineLevel="0" collapsed="false">
      <c r="A17" s="18" t="n">
        <v>62</v>
      </c>
      <c r="B17" s="18" t="s">
        <v>132</v>
      </c>
      <c r="C17" s="18" t="s">
        <v>132</v>
      </c>
      <c r="D17" s="18" t="s">
        <v>596</v>
      </c>
      <c r="E17" s="18" t="s">
        <v>597</v>
      </c>
      <c r="F17" s="18" t="s">
        <v>95</v>
      </c>
      <c r="G17" s="18" t="s">
        <v>598</v>
      </c>
      <c r="H17" s="18" t="s">
        <v>599</v>
      </c>
      <c r="I17" s="19" t="s">
        <v>9</v>
      </c>
      <c r="J17" s="19" t="s">
        <v>73</v>
      </c>
      <c r="K17" s="19" t="s">
        <v>44</v>
      </c>
      <c r="L17" s="19" t="s">
        <v>600</v>
      </c>
      <c r="M17" s="18" t="s">
        <v>601</v>
      </c>
      <c r="N17" s="18" t="s">
        <v>139</v>
      </c>
      <c r="O17" s="18" t="s">
        <v>602</v>
      </c>
    </row>
    <row r="18" customFormat="false" ht="87.75" hidden="false" customHeight="true" outlineLevel="0" collapsed="false">
      <c r="A18" s="18" t="n">
        <v>63</v>
      </c>
      <c r="B18" s="18" t="s">
        <v>251</v>
      </c>
      <c r="C18" s="18" t="s">
        <v>252</v>
      </c>
      <c r="D18" s="18" t="s">
        <v>603</v>
      </c>
      <c r="E18" s="18" t="s">
        <v>604</v>
      </c>
      <c r="F18" s="18" t="s">
        <v>298</v>
      </c>
      <c r="G18" s="18" t="s">
        <v>605</v>
      </c>
      <c r="H18" s="18" t="s">
        <v>606</v>
      </c>
      <c r="I18" s="19" t="s">
        <v>5</v>
      </c>
      <c r="J18" s="19" t="s">
        <v>73</v>
      </c>
      <c r="K18" s="19" t="s">
        <v>36</v>
      </c>
      <c r="L18" s="20" t="s">
        <v>607</v>
      </c>
      <c r="M18" s="18" t="s">
        <v>608</v>
      </c>
      <c r="N18" s="18" t="s">
        <v>259</v>
      </c>
      <c r="O18" s="18" t="s">
        <v>609</v>
      </c>
    </row>
    <row r="19" customFormat="false" ht="87.75" hidden="false" customHeight="true" outlineLevel="0" collapsed="false">
      <c r="A19" s="18" t="n">
        <v>64</v>
      </c>
      <c r="B19" s="18" t="s">
        <v>610</v>
      </c>
      <c r="C19" s="18" t="s">
        <v>610</v>
      </c>
      <c r="D19" s="18" t="s">
        <v>611</v>
      </c>
      <c r="E19" s="18" t="s">
        <v>612</v>
      </c>
      <c r="F19" s="18" t="s">
        <v>233</v>
      </c>
      <c r="G19" s="18" t="s">
        <v>613</v>
      </c>
      <c r="H19" s="18" t="s">
        <v>614</v>
      </c>
      <c r="I19" s="19" t="s">
        <v>5</v>
      </c>
      <c r="J19" s="19" t="s">
        <v>73</v>
      </c>
      <c r="K19" s="19" t="s">
        <v>36</v>
      </c>
      <c r="L19" s="20" t="s">
        <v>615</v>
      </c>
      <c r="M19" s="18" t="s">
        <v>616</v>
      </c>
      <c r="N19" s="18" t="s">
        <v>617</v>
      </c>
      <c r="O19" s="18" t="s">
        <v>618</v>
      </c>
    </row>
    <row r="20" customFormat="false" ht="87.75" hidden="false" customHeight="true" outlineLevel="0" collapsed="false">
      <c r="A20" s="18" t="n">
        <v>65</v>
      </c>
      <c r="B20" s="18" t="s">
        <v>92</v>
      </c>
      <c r="C20" s="18" t="s">
        <v>92</v>
      </c>
      <c r="D20" s="18" t="s">
        <v>619</v>
      </c>
      <c r="E20" s="18" t="s">
        <v>620</v>
      </c>
      <c r="F20" s="18" t="s">
        <v>621</v>
      </c>
      <c r="G20" s="18" t="s">
        <v>622</v>
      </c>
      <c r="H20" s="18" t="s">
        <v>623</v>
      </c>
      <c r="I20" s="19" t="s">
        <v>5</v>
      </c>
      <c r="J20" s="19" t="s">
        <v>73</v>
      </c>
      <c r="K20" s="19" t="s">
        <v>36</v>
      </c>
      <c r="L20" s="20" t="s">
        <v>624</v>
      </c>
      <c r="M20" s="18" t="s">
        <v>625</v>
      </c>
      <c r="N20" s="18" t="s">
        <v>100</v>
      </c>
      <c r="O20" s="18" t="s">
        <v>626</v>
      </c>
    </row>
    <row r="21" customFormat="false" ht="87.75" hidden="false" customHeight="true" outlineLevel="0" collapsed="false">
      <c r="A21" s="18" t="n">
        <v>66</v>
      </c>
      <c r="B21" s="18" t="s">
        <v>627</v>
      </c>
      <c r="C21" s="18" t="s">
        <v>628</v>
      </c>
      <c r="D21" s="18" t="s">
        <v>629</v>
      </c>
      <c r="E21" s="18" t="s">
        <v>630</v>
      </c>
      <c r="F21" s="18" t="s">
        <v>505</v>
      </c>
      <c r="G21" s="18" t="s">
        <v>631</v>
      </c>
      <c r="H21" s="18" t="s">
        <v>632</v>
      </c>
      <c r="I21" s="19" t="s">
        <v>5</v>
      </c>
      <c r="J21" s="19" t="s">
        <v>73</v>
      </c>
      <c r="K21" s="19" t="s">
        <v>36</v>
      </c>
      <c r="L21" s="20" t="s">
        <v>633</v>
      </c>
      <c r="M21" s="18" t="s">
        <v>634</v>
      </c>
      <c r="N21" s="18" t="s">
        <v>635</v>
      </c>
      <c r="O21" s="18" t="s">
        <v>636</v>
      </c>
    </row>
    <row r="22" customFormat="false" ht="87.75" hidden="false" customHeight="true" outlineLevel="0" collapsed="false">
      <c r="A22" s="18" t="n">
        <v>67</v>
      </c>
      <c r="B22" s="18" t="s">
        <v>637</v>
      </c>
      <c r="C22" s="18" t="s">
        <v>638</v>
      </c>
      <c r="D22" s="18" t="s">
        <v>639</v>
      </c>
      <c r="E22" s="18" t="s">
        <v>640</v>
      </c>
      <c r="F22" s="18" t="s">
        <v>241</v>
      </c>
      <c r="G22" s="18" t="s">
        <v>641</v>
      </c>
      <c r="H22" s="18" t="s">
        <v>642</v>
      </c>
      <c r="I22" s="19" t="s">
        <v>5</v>
      </c>
      <c r="J22" s="19" t="s">
        <v>73</v>
      </c>
      <c r="K22" s="19" t="s">
        <v>36</v>
      </c>
      <c r="L22" s="19" t="s">
        <v>643</v>
      </c>
      <c r="M22" s="18" t="s">
        <v>644</v>
      </c>
      <c r="N22" s="18" t="s">
        <v>645</v>
      </c>
      <c r="O22" s="18" t="s">
        <v>646</v>
      </c>
    </row>
    <row r="23" customFormat="false" ht="87.75" hidden="false" customHeight="true" outlineLevel="0" collapsed="false">
      <c r="A23" s="18" t="n">
        <v>68</v>
      </c>
      <c r="B23" s="18" t="s">
        <v>220</v>
      </c>
      <c r="C23" s="18" t="s">
        <v>221</v>
      </c>
      <c r="D23" s="18" t="s">
        <v>647</v>
      </c>
      <c r="E23" s="18" t="s">
        <v>648</v>
      </c>
      <c r="F23" s="18" t="s">
        <v>649</v>
      </c>
      <c r="G23" s="18" t="s">
        <v>650</v>
      </c>
      <c r="H23" s="18" t="s">
        <v>651</v>
      </c>
      <c r="I23" s="19" t="s">
        <v>9</v>
      </c>
      <c r="J23" s="19" t="s">
        <v>73</v>
      </c>
      <c r="K23" s="19" t="s">
        <v>46</v>
      </c>
      <c r="L23" s="19" t="s">
        <v>652</v>
      </c>
      <c r="M23" s="18" t="s">
        <v>653</v>
      </c>
      <c r="N23" s="18" t="s">
        <v>227</v>
      </c>
      <c r="O23" s="18" t="s">
        <v>654</v>
      </c>
    </row>
    <row r="24" customFormat="false" ht="87.75" hidden="false" customHeight="true" outlineLevel="0" collapsed="false">
      <c r="A24" s="18" t="n">
        <v>69</v>
      </c>
      <c r="B24" s="18" t="s">
        <v>655</v>
      </c>
      <c r="C24" s="18" t="s">
        <v>205</v>
      </c>
      <c r="D24" s="18" t="s">
        <v>656</v>
      </c>
      <c r="E24" s="18" t="s">
        <v>657</v>
      </c>
      <c r="F24" s="18" t="s">
        <v>658</v>
      </c>
      <c r="G24" s="18" t="s">
        <v>659</v>
      </c>
      <c r="H24" s="18"/>
      <c r="I24" s="19" t="s">
        <v>9</v>
      </c>
      <c r="J24" s="19" t="s">
        <v>74</v>
      </c>
      <c r="K24" s="19" t="s">
        <v>50</v>
      </c>
      <c r="L24" s="20" t="s">
        <v>660</v>
      </c>
      <c r="M24" s="18" t="s">
        <v>661</v>
      </c>
      <c r="N24" s="18" t="s">
        <v>662</v>
      </c>
      <c r="O24" s="18" t="s">
        <v>663</v>
      </c>
    </row>
    <row r="25" customFormat="false" ht="87.75" hidden="false" customHeight="true" outlineLevel="0" collapsed="false">
      <c r="A25" s="18" t="n">
        <v>70</v>
      </c>
      <c r="B25" s="18" t="s">
        <v>141</v>
      </c>
      <c r="C25" s="18" t="s">
        <v>141</v>
      </c>
      <c r="D25" s="18" t="s">
        <v>664</v>
      </c>
      <c r="E25" s="18"/>
      <c r="F25" s="18" t="s">
        <v>665</v>
      </c>
      <c r="G25" s="18" t="s">
        <v>666</v>
      </c>
      <c r="H25" s="18" t="s">
        <v>667</v>
      </c>
      <c r="I25" s="19" t="s">
        <v>5</v>
      </c>
      <c r="J25" s="19" t="s">
        <v>73</v>
      </c>
      <c r="K25" s="19" t="s">
        <v>36</v>
      </c>
      <c r="L25" s="19"/>
      <c r="M25" s="18" t="s">
        <v>668</v>
      </c>
      <c r="N25" s="18" t="s">
        <v>149</v>
      </c>
      <c r="O25" s="18" t="s">
        <v>669</v>
      </c>
    </row>
    <row r="26" customFormat="false" ht="87.75" hidden="false" customHeight="true" outlineLevel="0" collapsed="false">
      <c r="A26" s="18" t="n">
        <v>71</v>
      </c>
      <c r="B26" s="18" t="s">
        <v>670</v>
      </c>
      <c r="C26" s="18" t="s">
        <v>671</v>
      </c>
      <c r="D26" s="18" t="s">
        <v>671</v>
      </c>
      <c r="E26" s="18" t="s">
        <v>672</v>
      </c>
      <c r="F26" s="18" t="s">
        <v>233</v>
      </c>
      <c r="G26" s="18" t="s">
        <v>673</v>
      </c>
      <c r="H26" s="18" t="s">
        <v>674</v>
      </c>
      <c r="I26" s="19" t="s">
        <v>5</v>
      </c>
      <c r="J26" s="19" t="s">
        <v>73</v>
      </c>
      <c r="K26" s="19" t="s">
        <v>36</v>
      </c>
      <c r="L26" s="19"/>
      <c r="M26" s="18" t="s">
        <v>675</v>
      </c>
      <c r="N26" s="18" t="s">
        <v>676</v>
      </c>
      <c r="O26" s="18" t="s">
        <v>677</v>
      </c>
    </row>
    <row r="27" customFormat="false" ht="87.75" hidden="false" customHeight="true" outlineLevel="0" collapsed="false">
      <c r="A27" s="18" t="n">
        <v>72</v>
      </c>
      <c r="B27" s="18" t="s">
        <v>678</v>
      </c>
      <c r="C27" s="18" t="s">
        <v>679</v>
      </c>
      <c r="D27" s="18" t="s">
        <v>680</v>
      </c>
      <c r="E27" s="18"/>
      <c r="F27" s="18" t="s">
        <v>681</v>
      </c>
      <c r="G27" s="18" t="s">
        <v>682</v>
      </c>
      <c r="H27" s="18"/>
      <c r="I27" s="19" t="s">
        <v>5</v>
      </c>
      <c r="J27" s="19" t="s">
        <v>73</v>
      </c>
      <c r="K27" s="19" t="s">
        <v>38</v>
      </c>
      <c r="L27" s="19" t="s">
        <v>683</v>
      </c>
      <c r="M27" s="18" t="s">
        <v>684</v>
      </c>
      <c r="N27" s="18" t="s">
        <v>685</v>
      </c>
      <c r="O27" s="18" t="s">
        <v>686</v>
      </c>
    </row>
    <row r="28" customFormat="false" ht="87.75" hidden="false" customHeight="true" outlineLevel="0" collapsed="false">
      <c r="A28" s="18" t="n">
        <v>73</v>
      </c>
      <c r="B28" s="18" t="s">
        <v>151</v>
      </c>
      <c r="C28" s="18" t="s">
        <v>151</v>
      </c>
      <c r="D28" s="18" t="s">
        <v>687</v>
      </c>
      <c r="E28" s="18"/>
      <c r="F28" s="18" t="s">
        <v>233</v>
      </c>
      <c r="G28" s="18" t="s">
        <v>304</v>
      </c>
      <c r="H28" s="18" t="s">
        <v>688</v>
      </c>
      <c r="I28" s="19" t="s">
        <v>5</v>
      </c>
      <c r="J28" s="19" t="s">
        <v>73</v>
      </c>
      <c r="K28" s="19" t="s">
        <v>36</v>
      </c>
      <c r="L28" s="19"/>
      <c r="M28" s="18" t="s">
        <v>689</v>
      </c>
      <c r="N28" s="18" t="s">
        <v>159</v>
      </c>
      <c r="O28" s="18" t="s">
        <v>690</v>
      </c>
    </row>
    <row r="29" customFormat="false" ht="87.75" hidden="false" customHeight="true" outlineLevel="0" collapsed="false">
      <c r="A29" s="18" t="n">
        <v>74</v>
      </c>
      <c r="B29" s="18" t="s">
        <v>691</v>
      </c>
      <c r="C29" s="18" t="s">
        <v>103</v>
      </c>
      <c r="D29" s="18" t="s">
        <v>692</v>
      </c>
      <c r="E29" s="18" t="s">
        <v>693</v>
      </c>
      <c r="F29" s="18" t="s">
        <v>694</v>
      </c>
      <c r="G29" s="18" t="s">
        <v>695</v>
      </c>
      <c r="H29" s="18" t="s">
        <v>696</v>
      </c>
      <c r="I29" s="19" t="s">
        <v>5</v>
      </c>
      <c r="J29" s="19" t="s">
        <v>73</v>
      </c>
      <c r="K29" s="19" t="s">
        <v>36</v>
      </c>
      <c r="L29" s="19"/>
      <c r="M29" s="18" t="s">
        <v>697</v>
      </c>
      <c r="N29" s="18" t="s">
        <v>698</v>
      </c>
      <c r="O29" s="18" t="s">
        <v>699</v>
      </c>
    </row>
    <row r="30" customFormat="false" ht="87.75" hidden="false" customHeight="true" outlineLevel="0" collapsed="false">
      <c r="A30" s="18" t="n">
        <v>75</v>
      </c>
      <c r="B30" s="18" t="s">
        <v>700</v>
      </c>
      <c r="C30" s="18" t="s">
        <v>701</v>
      </c>
      <c r="D30" s="18" t="s">
        <v>702</v>
      </c>
      <c r="E30" s="18" t="s">
        <v>703</v>
      </c>
      <c r="F30" s="18" t="s">
        <v>704</v>
      </c>
      <c r="G30" s="18" t="s">
        <v>705</v>
      </c>
      <c r="H30" s="18" t="s">
        <v>706</v>
      </c>
      <c r="I30" s="19" t="s">
        <v>9</v>
      </c>
      <c r="J30" s="19" t="s">
        <v>74</v>
      </c>
      <c r="K30" s="19" t="s">
        <v>48</v>
      </c>
      <c r="L30" s="19" t="s">
        <v>707</v>
      </c>
      <c r="M30" s="18" t="s">
        <v>708</v>
      </c>
      <c r="N30" s="18" t="s">
        <v>709</v>
      </c>
      <c r="O30" s="18" t="s">
        <v>710</v>
      </c>
    </row>
  </sheetData>
  <mergeCells count="2">
    <mergeCell ref="A1:O1"/>
    <mergeCell ref="A2:O2"/>
  </mergeCells>
  <conditionalFormatting sqref="I6:I30">
    <cfRule type="expression" priority="2" aboveAverage="0" equalAverage="0" bottom="0" percent="0" rank="0" text="" dxfId="0">
      <formula>I6="VALID_TARGET_REFERENCE"</formula>
    </cfRule>
    <cfRule type="expression" priority="3" aboveAverage="0" equalAverage="0" bottom="0" percent="0" rank="0" text="" dxfId="1">
      <formula>I6="INVALID_TARGET_REFERENCE"</formula>
    </cfRule>
    <cfRule type="expression" priority="4" aboveAverage="0" equalAverage="0" bottom="0" percent="0" rank="0" text="" dxfId="2">
      <formula>I6="UNCERTAIN"</formula>
    </cfRule>
  </conditionalFormatting>
  <dataValidations count="3">
    <dataValidation allowBlank="false" errorStyle="stop" operator="between" showDropDown="false" showErrorMessage="false" showInputMessage="false" sqref="I6:I30" type="list">
      <formula1>Lists!$A$2:$A$4</formula1>
      <formula2>0</formula2>
    </dataValidation>
    <dataValidation allowBlank="false" errorStyle="stop" operator="between" showDropDown="false" showErrorMessage="false" showInputMessage="false" sqref="J6:J30" type="list">
      <formula1>Lists!$B$2:$B$4</formula1>
      <formula2>0</formula2>
    </dataValidation>
    <dataValidation allowBlank="false" errorStyle="stop" operator="between" showDropDown="false" showErrorMessage="false" showInputMessage="false" sqref="K6:K30" type="list">
      <formula1>Lists!$C$2:$C$14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20"/>
    <col collapsed="false" customWidth="true" hidden="false" outlineLevel="0" max="4" min="4" style="1" width="36"/>
    <col collapsed="false" customWidth="true" hidden="false" outlineLevel="0" max="5" min="5" style="1" width="42"/>
    <col collapsed="false" customWidth="true" hidden="false" outlineLevel="0" max="6" min="6" style="1" width="9"/>
    <col collapsed="false" customWidth="true" hidden="false" outlineLevel="0" max="7" min="7" style="1" width="13"/>
    <col collapsed="false" customWidth="true" hidden="false" outlineLevel="0" max="8" min="8" style="1" width="28"/>
    <col collapsed="false" customWidth="true" hidden="false" outlineLevel="0" max="9" min="9" style="1" width="26"/>
    <col collapsed="false" customWidth="true" hidden="false" outlineLevel="0" max="10" min="10" style="1" width="13"/>
    <col collapsed="false" customWidth="true" hidden="false" outlineLevel="0" max="12" min="11" style="1" width="34"/>
    <col collapsed="false" customWidth="true" hidden="false" outlineLevel="0" max="13" min="13" style="1" width="24"/>
    <col collapsed="false" customWidth="true" hidden="false" outlineLevel="0" max="14" min="14" style="1" width="16"/>
    <col collapsed="false" customWidth="true" hidden="false" outlineLevel="0" max="15" min="15" style="1" width="18"/>
  </cols>
  <sheetData>
    <row r="1" customFormat="false" ht="25.5" hidden="false" customHeight="true" outlineLevel="0" collapsed="false">
      <c r="A1" s="13" t="s">
        <v>711</v>
      </c>
      <c r="B1" s="13"/>
      <c r="C1" s="13"/>
      <c r="D1" s="13"/>
      <c r="E1" s="13"/>
      <c r="F1" s="13"/>
      <c r="G1" s="13"/>
      <c r="H1" s="13"/>
      <c r="I1" s="13"/>
      <c r="J1" s="13"/>
      <c r="K1" s="13"/>
      <c r="L1" s="13"/>
      <c r="M1" s="13"/>
      <c r="N1" s="13"/>
      <c r="O1" s="13"/>
    </row>
    <row r="2" customFormat="false" ht="31.5" hidden="false" customHeight="true" outlineLevel="0" collapsed="false">
      <c r="A2" s="14" t="s">
        <v>77</v>
      </c>
      <c r="B2" s="14"/>
      <c r="C2" s="14"/>
      <c r="D2" s="14"/>
      <c r="E2" s="14"/>
      <c r="F2" s="14"/>
      <c r="G2" s="14"/>
      <c r="H2" s="14"/>
      <c r="I2" s="14"/>
      <c r="J2" s="14"/>
      <c r="K2" s="14"/>
      <c r="L2" s="14"/>
      <c r="M2" s="14"/>
      <c r="N2" s="14"/>
      <c r="O2" s="14"/>
    </row>
    <row r="4" customFormat="false" ht="15" hidden="false" customHeight="false" outlineLevel="0" collapsed="false">
      <c r="A4" s="15" t="s">
        <v>78</v>
      </c>
      <c r="I4" s="16" t="s">
        <v>33</v>
      </c>
      <c r="J4" s="16" t="s">
        <v>71</v>
      </c>
      <c r="K4" s="16" t="s">
        <v>79</v>
      </c>
      <c r="L4" s="16" t="s">
        <v>80</v>
      </c>
    </row>
    <row r="5" customFormat="false" ht="30" hidden="false" customHeight="true" outlineLevel="0" collapsed="false">
      <c r="A5" s="17" t="s">
        <v>81</v>
      </c>
      <c r="B5" s="17" t="s">
        <v>82</v>
      </c>
      <c r="C5" s="17" t="s">
        <v>83</v>
      </c>
      <c r="D5" s="17" t="s">
        <v>84</v>
      </c>
      <c r="E5" s="17" t="s">
        <v>85</v>
      </c>
      <c r="F5" s="17" t="s">
        <v>86</v>
      </c>
      <c r="G5" s="17" t="s">
        <v>87</v>
      </c>
      <c r="H5" s="17" t="s">
        <v>88</v>
      </c>
      <c r="I5" s="17" t="s">
        <v>33</v>
      </c>
      <c r="J5" s="17" t="s">
        <v>71</v>
      </c>
      <c r="K5" s="17" t="s">
        <v>79</v>
      </c>
      <c r="L5" s="17" t="s">
        <v>80</v>
      </c>
      <c r="M5" s="17" t="s">
        <v>89</v>
      </c>
      <c r="N5" s="17" t="s">
        <v>90</v>
      </c>
      <c r="O5" s="17" t="s">
        <v>91</v>
      </c>
    </row>
    <row r="6" customFormat="false" ht="87.75" hidden="false" customHeight="true" outlineLevel="0" collapsed="false">
      <c r="A6" s="18" t="n">
        <v>76</v>
      </c>
      <c r="B6" s="18" t="s">
        <v>712</v>
      </c>
      <c r="C6" s="18" t="s">
        <v>162</v>
      </c>
      <c r="D6" s="18" t="s">
        <v>713</v>
      </c>
      <c r="E6" s="18" t="s">
        <v>714</v>
      </c>
      <c r="F6" s="18" t="s">
        <v>125</v>
      </c>
      <c r="G6" s="18" t="s">
        <v>345</v>
      </c>
      <c r="H6" s="18"/>
      <c r="I6" s="19" t="s">
        <v>5</v>
      </c>
      <c r="J6" s="19" t="s">
        <v>73</v>
      </c>
      <c r="K6" s="19" t="s">
        <v>36</v>
      </c>
      <c r="L6" s="19"/>
      <c r="M6" s="18" t="s">
        <v>715</v>
      </c>
      <c r="N6" s="18" t="s">
        <v>716</v>
      </c>
      <c r="O6" s="18" t="s">
        <v>717</v>
      </c>
    </row>
    <row r="7" customFormat="false" ht="87.75" hidden="false" customHeight="true" outlineLevel="0" collapsed="false">
      <c r="A7" s="18" t="n">
        <v>77</v>
      </c>
      <c r="B7" s="18" t="s">
        <v>718</v>
      </c>
      <c r="C7" s="18" t="s">
        <v>719</v>
      </c>
      <c r="D7" s="18" t="s">
        <v>720</v>
      </c>
      <c r="E7" s="18" t="s">
        <v>721</v>
      </c>
      <c r="F7" s="18" t="s">
        <v>241</v>
      </c>
      <c r="G7" s="18" t="s">
        <v>722</v>
      </c>
      <c r="H7" s="18" t="s">
        <v>723</v>
      </c>
      <c r="I7" s="19" t="s">
        <v>5</v>
      </c>
      <c r="J7" s="19" t="s">
        <v>73</v>
      </c>
      <c r="K7" s="19" t="s">
        <v>36</v>
      </c>
      <c r="L7" s="19"/>
      <c r="M7" s="18" t="s">
        <v>724</v>
      </c>
      <c r="N7" s="18" t="s">
        <v>725</v>
      </c>
      <c r="O7" s="18" t="s">
        <v>726</v>
      </c>
    </row>
    <row r="8" customFormat="false" ht="87.75" hidden="false" customHeight="true" outlineLevel="0" collapsed="false">
      <c r="A8" s="18" t="n">
        <v>78</v>
      </c>
      <c r="B8" s="18" t="s">
        <v>132</v>
      </c>
      <c r="C8" s="18" t="s">
        <v>132</v>
      </c>
      <c r="D8" s="18" t="s">
        <v>727</v>
      </c>
      <c r="E8" s="18" t="s">
        <v>728</v>
      </c>
      <c r="F8" s="18" t="s">
        <v>116</v>
      </c>
      <c r="G8" s="18" t="s">
        <v>729</v>
      </c>
      <c r="H8" s="18"/>
      <c r="I8" s="19" t="s">
        <v>5</v>
      </c>
      <c r="J8" s="19" t="s">
        <v>74</v>
      </c>
      <c r="K8" s="19" t="s">
        <v>40</v>
      </c>
      <c r="L8" s="20" t="s">
        <v>730</v>
      </c>
      <c r="M8" s="18" t="s">
        <v>731</v>
      </c>
      <c r="N8" s="18" t="s">
        <v>139</v>
      </c>
      <c r="O8" s="18" t="s">
        <v>732</v>
      </c>
    </row>
    <row r="9" customFormat="false" ht="87.75" hidden="false" customHeight="true" outlineLevel="0" collapsed="false">
      <c r="A9" s="18" t="n">
        <v>79</v>
      </c>
      <c r="B9" s="18" t="s">
        <v>733</v>
      </c>
      <c r="C9" s="18" t="s">
        <v>734</v>
      </c>
      <c r="D9" s="18" t="s">
        <v>735</v>
      </c>
      <c r="E9" s="18"/>
      <c r="F9" s="18" t="s">
        <v>359</v>
      </c>
      <c r="G9" s="18" t="s">
        <v>736</v>
      </c>
      <c r="H9" s="18"/>
      <c r="I9" s="19" t="s">
        <v>5</v>
      </c>
      <c r="J9" s="19" t="s">
        <v>73</v>
      </c>
      <c r="K9" s="19" t="s">
        <v>36</v>
      </c>
      <c r="L9" s="19"/>
      <c r="M9" s="18" t="s">
        <v>737</v>
      </c>
      <c r="N9" s="18" t="s">
        <v>738</v>
      </c>
      <c r="O9" s="18" t="s">
        <v>739</v>
      </c>
    </row>
    <row r="10" customFormat="false" ht="87.75" hidden="false" customHeight="true" outlineLevel="0" collapsed="false">
      <c r="A10" s="18" t="n">
        <v>80</v>
      </c>
      <c r="B10" s="18" t="s">
        <v>740</v>
      </c>
      <c r="C10" s="18" t="s">
        <v>741</v>
      </c>
      <c r="D10" s="18" t="s">
        <v>742</v>
      </c>
      <c r="E10" s="18"/>
      <c r="F10" s="18" t="s">
        <v>106</v>
      </c>
      <c r="G10" s="18" t="s">
        <v>176</v>
      </c>
      <c r="H10" s="18"/>
      <c r="I10" s="19" t="s">
        <v>5</v>
      </c>
      <c r="J10" s="19" t="s">
        <v>73</v>
      </c>
      <c r="K10" s="19" t="s">
        <v>36</v>
      </c>
      <c r="L10" s="19"/>
      <c r="M10" s="18" t="s">
        <v>743</v>
      </c>
      <c r="N10" s="18" t="s">
        <v>744</v>
      </c>
      <c r="O10" s="18" t="s">
        <v>745</v>
      </c>
    </row>
    <row r="11" customFormat="false" ht="87.75" hidden="false" customHeight="true" outlineLevel="0" collapsed="false">
      <c r="A11" s="18" t="n">
        <v>81</v>
      </c>
      <c r="B11" s="18" t="s">
        <v>141</v>
      </c>
      <c r="C11" s="18" t="s">
        <v>141</v>
      </c>
      <c r="D11" s="18" t="s">
        <v>746</v>
      </c>
      <c r="E11" s="18"/>
      <c r="F11" s="18" t="s">
        <v>747</v>
      </c>
      <c r="G11" s="18" t="s">
        <v>748</v>
      </c>
      <c r="H11" s="18" t="s">
        <v>749</v>
      </c>
      <c r="I11" s="19" t="s">
        <v>5</v>
      </c>
      <c r="J11" s="19" t="s">
        <v>73</v>
      </c>
      <c r="K11" s="19" t="s">
        <v>36</v>
      </c>
      <c r="L11" s="19"/>
      <c r="M11" s="18" t="s">
        <v>750</v>
      </c>
      <c r="N11" s="18" t="s">
        <v>149</v>
      </c>
      <c r="O11" s="18" t="s">
        <v>751</v>
      </c>
    </row>
    <row r="12" customFormat="false" ht="87.75" hidden="false" customHeight="true" outlineLevel="0" collapsed="false">
      <c r="A12" s="18" t="n">
        <v>82</v>
      </c>
      <c r="B12" s="18" t="s">
        <v>92</v>
      </c>
      <c r="C12" s="18" t="s">
        <v>92</v>
      </c>
      <c r="D12" s="18" t="s">
        <v>752</v>
      </c>
      <c r="E12" s="18" t="s">
        <v>753</v>
      </c>
      <c r="F12" s="18" t="s">
        <v>681</v>
      </c>
      <c r="G12" s="18" t="s">
        <v>754</v>
      </c>
      <c r="H12" s="18" t="s">
        <v>755</v>
      </c>
      <c r="I12" s="19" t="s">
        <v>5</v>
      </c>
      <c r="J12" s="19" t="s">
        <v>73</v>
      </c>
      <c r="K12" s="19" t="s">
        <v>36</v>
      </c>
      <c r="L12" s="19"/>
      <c r="M12" s="18" t="s">
        <v>756</v>
      </c>
      <c r="N12" s="18" t="s">
        <v>100</v>
      </c>
      <c r="O12" s="18" t="s">
        <v>757</v>
      </c>
    </row>
    <row r="13" customFormat="false" ht="87.75" hidden="false" customHeight="true" outlineLevel="0" collapsed="false">
      <c r="A13" s="18" t="n">
        <v>83</v>
      </c>
      <c r="B13" s="18" t="s">
        <v>189</v>
      </c>
      <c r="C13" s="18" t="s">
        <v>190</v>
      </c>
      <c r="D13" s="18" t="s">
        <v>758</v>
      </c>
      <c r="E13" s="18"/>
      <c r="F13" s="18" t="s">
        <v>336</v>
      </c>
      <c r="G13" s="18" t="s">
        <v>584</v>
      </c>
      <c r="H13" s="18" t="s">
        <v>759</v>
      </c>
      <c r="I13" s="19" t="s">
        <v>5</v>
      </c>
      <c r="J13" s="19" t="s">
        <v>73</v>
      </c>
      <c r="K13" s="19" t="s">
        <v>36</v>
      </c>
      <c r="L13" s="19"/>
      <c r="M13" s="18" t="s">
        <v>760</v>
      </c>
      <c r="N13" s="18" t="s">
        <v>197</v>
      </c>
      <c r="O13" s="18" t="s">
        <v>761</v>
      </c>
    </row>
    <row r="14" customFormat="false" ht="87.75" hidden="false" customHeight="true" outlineLevel="0" collapsed="false">
      <c r="A14" s="18" t="n">
        <v>84</v>
      </c>
      <c r="B14" s="18" t="s">
        <v>762</v>
      </c>
      <c r="C14" s="18" t="s">
        <v>763</v>
      </c>
      <c r="D14" s="18" t="s">
        <v>764</v>
      </c>
      <c r="E14" s="18" t="s">
        <v>765</v>
      </c>
      <c r="F14" s="18" t="s">
        <v>766</v>
      </c>
      <c r="G14" s="18" t="s">
        <v>767</v>
      </c>
      <c r="H14" s="18"/>
      <c r="I14" s="19" t="s">
        <v>5</v>
      </c>
      <c r="J14" s="19" t="s">
        <v>73</v>
      </c>
      <c r="K14" s="19" t="s">
        <v>36</v>
      </c>
      <c r="L14" s="19"/>
      <c r="M14" s="18" t="s">
        <v>768</v>
      </c>
      <c r="N14" s="18" t="s">
        <v>769</v>
      </c>
      <c r="O14" s="18" t="s">
        <v>770</v>
      </c>
    </row>
    <row r="15" customFormat="false" ht="87.75" hidden="false" customHeight="true" outlineLevel="0" collapsed="false">
      <c r="A15" s="18" t="n">
        <v>85</v>
      </c>
      <c r="B15" s="18" t="s">
        <v>132</v>
      </c>
      <c r="C15" s="18" t="s">
        <v>132</v>
      </c>
      <c r="D15" s="18" t="s">
        <v>771</v>
      </c>
      <c r="E15" s="18" t="s">
        <v>772</v>
      </c>
      <c r="F15" s="18" t="s">
        <v>773</v>
      </c>
      <c r="G15" s="18" t="s">
        <v>774</v>
      </c>
      <c r="H15" s="18" t="s">
        <v>775</v>
      </c>
      <c r="I15" s="19" t="s">
        <v>5</v>
      </c>
      <c r="J15" s="19" t="s">
        <v>74</v>
      </c>
      <c r="K15" s="19" t="s">
        <v>40</v>
      </c>
      <c r="L15" s="20" t="s">
        <v>776</v>
      </c>
      <c r="M15" s="18" t="s">
        <v>777</v>
      </c>
      <c r="N15" s="18" t="s">
        <v>139</v>
      </c>
      <c r="O15" s="18" t="s">
        <v>778</v>
      </c>
    </row>
    <row r="16" customFormat="false" ht="87.75" hidden="false" customHeight="true" outlineLevel="0" collapsed="false">
      <c r="A16" s="18" t="n">
        <v>86</v>
      </c>
      <c r="B16" s="18" t="s">
        <v>712</v>
      </c>
      <c r="C16" s="18" t="s">
        <v>162</v>
      </c>
      <c r="D16" s="18" t="s">
        <v>779</v>
      </c>
      <c r="E16" s="18" t="s">
        <v>780</v>
      </c>
      <c r="F16" s="18" t="s">
        <v>505</v>
      </c>
      <c r="G16" s="18" t="s">
        <v>506</v>
      </c>
      <c r="H16" s="18" t="s">
        <v>781</v>
      </c>
      <c r="I16" s="19" t="s">
        <v>5</v>
      </c>
      <c r="J16" s="19" t="s">
        <v>73</v>
      </c>
      <c r="K16" s="19" t="s">
        <v>36</v>
      </c>
      <c r="L16" s="19"/>
      <c r="M16" s="18" t="s">
        <v>782</v>
      </c>
      <c r="N16" s="18" t="s">
        <v>716</v>
      </c>
      <c r="O16" s="18" t="s">
        <v>783</v>
      </c>
    </row>
    <row r="17" customFormat="false" ht="87.75" hidden="false" customHeight="true" outlineLevel="0" collapsed="false">
      <c r="A17" s="18" t="n">
        <v>87</v>
      </c>
      <c r="B17" s="18" t="s">
        <v>784</v>
      </c>
      <c r="C17" s="18" t="s">
        <v>785</v>
      </c>
      <c r="D17" s="18" t="s">
        <v>786</v>
      </c>
      <c r="E17" s="18" t="s">
        <v>787</v>
      </c>
      <c r="F17" s="18" t="s">
        <v>289</v>
      </c>
      <c r="G17" s="18" t="s">
        <v>788</v>
      </c>
      <c r="H17" s="18" t="s">
        <v>789</v>
      </c>
      <c r="I17" s="19" t="s">
        <v>5</v>
      </c>
      <c r="J17" s="19" t="s">
        <v>73</v>
      </c>
      <c r="K17" s="19" t="s">
        <v>36</v>
      </c>
      <c r="L17" s="19"/>
      <c r="M17" s="18" t="s">
        <v>790</v>
      </c>
      <c r="N17" s="18" t="s">
        <v>791</v>
      </c>
      <c r="O17" s="18" t="s">
        <v>792</v>
      </c>
    </row>
    <row r="18" customFormat="false" ht="87.75" hidden="false" customHeight="true" outlineLevel="0" collapsed="false">
      <c r="A18" s="18" t="n">
        <v>88</v>
      </c>
      <c r="B18" s="18" t="s">
        <v>221</v>
      </c>
      <c r="C18" s="18" t="s">
        <v>221</v>
      </c>
      <c r="D18" s="18" t="s">
        <v>793</v>
      </c>
      <c r="E18" s="18" t="s">
        <v>794</v>
      </c>
      <c r="F18" s="18" t="s">
        <v>106</v>
      </c>
      <c r="G18" s="18" t="s">
        <v>795</v>
      </c>
      <c r="H18" s="18" t="s">
        <v>796</v>
      </c>
      <c r="I18" s="19" t="s">
        <v>5</v>
      </c>
      <c r="J18" s="19" t="s">
        <v>73</v>
      </c>
      <c r="K18" s="19" t="s">
        <v>36</v>
      </c>
      <c r="L18" s="20" t="s">
        <v>797</v>
      </c>
      <c r="M18" s="18" t="s">
        <v>798</v>
      </c>
      <c r="N18" s="18" t="s">
        <v>799</v>
      </c>
      <c r="O18" s="18" t="s">
        <v>800</v>
      </c>
    </row>
    <row r="19" customFormat="false" ht="87.75" hidden="false" customHeight="true" outlineLevel="0" collapsed="false">
      <c r="A19" s="18" t="n">
        <v>89</v>
      </c>
      <c r="B19" s="18" t="s">
        <v>92</v>
      </c>
      <c r="C19" s="18" t="s">
        <v>92</v>
      </c>
      <c r="D19" s="18" t="s">
        <v>801</v>
      </c>
      <c r="E19" s="18" t="s">
        <v>802</v>
      </c>
      <c r="F19" s="18" t="s">
        <v>214</v>
      </c>
      <c r="G19" s="18" t="s">
        <v>803</v>
      </c>
      <c r="H19" s="18" t="s">
        <v>804</v>
      </c>
      <c r="I19" s="19" t="s">
        <v>13</v>
      </c>
      <c r="J19" s="19" t="s">
        <v>75</v>
      </c>
      <c r="K19" s="19" t="s">
        <v>58</v>
      </c>
      <c r="L19" s="20" t="s">
        <v>805</v>
      </c>
      <c r="M19" s="18" t="s">
        <v>806</v>
      </c>
      <c r="N19" s="18" t="s">
        <v>100</v>
      </c>
      <c r="O19" s="18" t="s">
        <v>807</v>
      </c>
    </row>
    <row r="20" customFormat="false" ht="87.75" hidden="false" customHeight="true" outlineLevel="0" collapsed="false">
      <c r="A20" s="18" t="n">
        <v>90</v>
      </c>
      <c r="B20" s="18" t="s">
        <v>525</v>
      </c>
      <c r="C20" s="18" t="s">
        <v>526</v>
      </c>
      <c r="D20" s="18" t="s">
        <v>808</v>
      </c>
      <c r="E20" s="18" t="s">
        <v>809</v>
      </c>
      <c r="F20" s="18" t="s">
        <v>810</v>
      </c>
      <c r="G20" s="18" t="s">
        <v>811</v>
      </c>
      <c r="H20" s="18"/>
      <c r="I20" s="19" t="s">
        <v>13</v>
      </c>
      <c r="J20" s="19" t="s">
        <v>75</v>
      </c>
      <c r="K20" s="19" t="s">
        <v>58</v>
      </c>
      <c r="L20" s="19" t="s">
        <v>812</v>
      </c>
      <c r="M20" s="18" t="s">
        <v>813</v>
      </c>
      <c r="N20" s="18" t="s">
        <v>531</v>
      </c>
      <c r="O20" s="18" t="s">
        <v>814</v>
      </c>
    </row>
    <row r="21" customFormat="false" ht="87.75" hidden="false" customHeight="true" outlineLevel="0" collapsed="false">
      <c r="A21" s="18" t="n">
        <v>91</v>
      </c>
      <c r="B21" s="18" t="s">
        <v>580</v>
      </c>
      <c r="C21" s="18" t="s">
        <v>581</v>
      </c>
      <c r="D21" s="18" t="s">
        <v>815</v>
      </c>
      <c r="E21" s="18" t="s">
        <v>816</v>
      </c>
      <c r="F21" s="18" t="s">
        <v>817</v>
      </c>
      <c r="G21" s="18" t="s">
        <v>818</v>
      </c>
      <c r="H21" s="18" t="s">
        <v>819</v>
      </c>
      <c r="I21" s="19" t="s">
        <v>5</v>
      </c>
      <c r="J21" s="19" t="s">
        <v>73</v>
      </c>
      <c r="K21" s="19" t="s">
        <v>36</v>
      </c>
      <c r="L21" s="20" t="s">
        <v>820</v>
      </c>
      <c r="M21" s="18" t="s">
        <v>821</v>
      </c>
      <c r="N21" s="18" t="s">
        <v>587</v>
      </c>
      <c r="O21" s="18" t="s">
        <v>822</v>
      </c>
    </row>
    <row r="22" customFormat="false" ht="87.75" hidden="false" customHeight="true" outlineLevel="0" collapsed="false">
      <c r="A22" s="18" t="n">
        <v>92</v>
      </c>
      <c r="B22" s="18" t="s">
        <v>823</v>
      </c>
      <c r="C22" s="18" t="s">
        <v>824</v>
      </c>
      <c r="D22" s="18" t="s">
        <v>825</v>
      </c>
      <c r="E22" s="18" t="s">
        <v>826</v>
      </c>
      <c r="F22" s="18" t="s">
        <v>265</v>
      </c>
      <c r="G22" s="18" t="s">
        <v>266</v>
      </c>
      <c r="H22" s="18" t="s">
        <v>827</v>
      </c>
      <c r="I22" s="19" t="s">
        <v>5</v>
      </c>
      <c r="J22" s="19" t="s">
        <v>74</v>
      </c>
      <c r="K22" s="19" t="s">
        <v>40</v>
      </c>
      <c r="L22" s="20" t="s">
        <v>828</v>
      </c>
      <c r="M22" s="18" t="s">
        <v>829</v>
      </c>
      <c r="N22" s="18" t="s">
        <v>830</v>
      </c>
      <c r="O22" s="18" t="s">
        <v>831</v>
      </c>
    </row>
    <row r="23" customFormat="false" ht="87.75" hidden="false" customHeight="true" outlineLevel="0" collapsed="false">
      <c r="A23" s="18" t="n">
        <v>93</v>
      </c>
      <c r="B23" s="18" t="s">
        <v>832</v>
      </c>
      <c r="C23" s="18" t="s">
        <v>833</v>
      </c>
      <c r="D23" s="18" t="s">
        <v>834</v>
      </c>
      <c r="E23" s="18"/>
      <c r="F23" s="18" t="s">
        <v>183</v>
      </c>
      <c r="G23" s="18" t="s">
        <v>835</v>
      </c>
      <c r="H23" s="18"/>
      <c r="I23" s="19" t="s">
        <v>5</v>
      </c>
      <c r="J23" s="19" t="s">
        <v>73</v>
      </c>
      <c r="K23" s="19" t="s">
        <v>36</v>
      </c>
      <c r="L23" s="19"/>
      <c r="M23" s="18" t="s">
        <v>836</v>
      </c>
      <c r="N23" s="18" t="s">
        <v>837</v>
      </c>
      <c r="O23" s="18" t="s">
        <v>838</v>
      </c>
    </row>
    <row r="24" customFormat="false" ht="87.75" hidden="false" customHeight="true" outlineLevel="0" collapsed="false">
      <c r="A24" s="18" t="n">
        <v>94</v>
      </c>
      <c r="B24" s="18" t="s">
        <v>161</v>
      </c>
      <c r="C24" s="18" t="s">
        <v>162</v>
      </c>
      <c r="D24" s="18" t="s">
        <v>839</v>
      </c>
      <c r="E24" s="18"/>
      <c r="F24" s="18" t="s">
        <v>747</v>
      </c>
      <c r="G24" s="18" t="s">
        <v>840</v>
      </c>
      <c r="H24" s="18"/>
      <c r="I24" s="19" t="s">
        <v>5</v>
      </c>
      <c r="J24" s="19" t="s">
        <v>73</v>
      </c>
      <c r="K24" s="19" t="s">
        <v>36</v>
      </c>
      <c r="L24" s="19"/>
      <c r="M24" s="18" t="s">
        <v>841</v>
      </c>
      <c r="N24" s="18" t="s">
        <v>842</v>
      </c>
      <c r="O24" s="18" t="s">
        <v>843</v>
      </c>
    </row>
    <row r="25" customFormat="false" ht="87.75" hidden="false" customHeight="true" outlineLevel="0" collapsed="false">
      <c r="A25" s="18" t="n">
        <v>95</v>
      </c>
      <c r="B25" s="18" t="s">
        <v>844</v>
      </c>
      <c r="C25" s="18" t="s">
        <v>845</v>
      </c>
      <c r="D25" s="18" t="s">
        <v>846</v>
      </c>
      <c r="E25" s="18" t="s">
        <v>847</v>
      </c>
      <c r="F25" s="18" t="s">
        <v>289</v>
      </c>
      <c r="G25" s="18" t="s">
        <v>848</v>
      </c>
      <c r="H25" s="18" t="s">
        <v>849</v>
      </c>
      <c r="I25" s="19" t="s">
        <v>5</v>
      </c>
      <c r="J25" s="19" t="s">
        <v>73</v>
      </c>
      <c r="K25" s="19" t="s">
        <v>38</v>
      </c>
      <c r="L25" s="20" t="s">
        <v>850</v>
      </c>
      <c r="M25" s="18" t="s">
        <v>851</v>
      </c>
      <c r="N25" s="18" t="s">
        <v>852</v>
      </c>
      <c r="O25" s="18" t="s">
        <v>853</v>
      </c>
    </row>
    <row r="26" customFormat="false" ht="87.75" hidden="false" customHeight="true" outlineLevel="0" collapsed="false">
      <c r="A26" s="18" t="n">
        <v>96</v>
      </c>
      <c r="B26" s="18" t="s">
        <v>854</v>
      </c>
      <c r="C26" s="18" t="s">
        <v>855</v>
      </c>
      <c r="D26" s="18" t="s">
        <v>856</v>
      </c>
      <c r="E26" s="18" t="s">
        <v>857</v>
      </c>
      <c r="F26" s="18" t="s">
        <v>858</v>
      </c>
      <c r="G26" s="18" t="s">
        <v>859</v>
      </c>
      <c r="H26" s="18"/>
      <c r="I26" s="19" t="s">
        <v>5</v>
      </c>
      <c r="J26" s="19" t="s">
        <v>73</v>
      </c>
      <c r="K26" s="19" t="s">
        <v>36</v>
      </c>
      <c r="L26" s="19"/>
      <c r="M26" s="18" t="s">
        <v>860</v>
      </c>
      <c r="N26" s="18" t="s">
        <v>861</v>
      </c>
      <c r="O26" s="18" t="s">
        <v>862</v>
      </c>
    </row>
    <row r="27" customFormat="false" ht="87.75" hidden="false" customHeight="true" outlineLevel="0" collapsed="false">
      <c r="A27" s="18" t="n">
        <v>97</v>
      </c>
      <c r="B27" s="18" t="s">
        <v>92</v>
      </c>
      <c r="C27" s="18" t="s">
        <v>92</v>
      </c>
      <c r="D27" s="18" t="s">
        <v>863</v>
      </c>
      <c r="E27" s="18" t="s">
        <v>864</v>
      </c>
      <c r="F27" s="18" t="s">
        <v>359</v>
      </c>
      <c r="G27" s="18" t="s">
        <v>360</v>
      </c>
      <c r="H27" s="18"/>
      <c r="I27" s="19" t="s">
        <v>5</v>
      </c>
      <c r="J27" s="19" t="s">
        <v>73</v>
      </c>
      <c r="K27" s="19" t="s">
        <v>36</v>
      </c>
      <c r="L27" s="20" t="s">
        <v>865</v>
      </c>
      <c r="M27" s="18" t="s">
        <v>866</v>
      </c>
      <c r="N27" s="18" t="s">
        <v>100</v>
      </c>
      <c r="O27" s="18" t="s">
        <v>867</v>
      </c>
    </row>
    <row r="28" customFormat="false" ht="87.75" hidden="false" customHeight="true" outlineLevel="0" collapsed="false">
      <c r="A28" s="18" t="n">
        <v>98</v>
      </c>
      <c r="B28" s="18" t="s">
        <v>525</v>
      </c>
      <c r="C28" s="18" t="s">
        <v>526</v>
      </c>
      <c r="D28" s="18" t="s">
        <v>868</v>
      </c>
      <c r="E28" s="18"/>
      <c r="F28" s="18" t="s">
        <v>858</v>
      </c>
      <c r="G28" s="18" t="s">
        <v>869</v>
      </c>
      <c r="H28" s="18"/>
      <c r="I28" s="19" t="s">
        <v>5</v>
      </c>
      <c r="J28" s="19" t="s">
        <v>73</v>
      </c>
      <c r="K28" s="19" t="s">
        <v>36</v>
      </c>
      <c r="L28" s="19"/>
      <c r="M28" s="18" t="s">
        <v>870</v>
      </c>
      <c r="N28" s="18" t="s">
        <v>531</v>
      </c>
      <c r="O28" s="18" t="s">
        <v>871</v>
      </c>
    </row>
    <row r="29" customFormat="false" ht="87.75" hidden="false" customHeight="true" outlineLevel="0" collapsed="false">
      <c r="A29" s="18" t="n">
        <v>99</v>
      </c>
      <c r="B29" s="18" t="s">
        <v>872</v>
      </c>
      <c r="C29" s="18" t="s">
        <v>873</v>
      </c>
      <c r="D29" s="18" t="s">
        <v>874</v>
      </c>
      <c r="E29" s="18"/>
      <c r="F29" s="18" t="s">
        <v>875</v>
      </c>
      <c r="G29" s="18" t="s">
        <v>876</v>
      </c>
      <c r="H29" s="18"/>
      <c r="I29" s="19" t="s">
        <v>5</v>
      </c>
      <c r="J29" s="19" t="s">
        <v>73</v>
      </c>
      <c r="K29" s="19" t="s">
        <v>36</v>
      </c>
      <c r="L29" s="19"/>
      <c r="M29" s="18" t="s">
        <v>877</v>
      </c>
      <c r="N29" s="18" t="s">
        <v>878</v>
      </c>
      <c r="O29" s="18" t="s">
        <v>879</v>
      </c>
    </row>
    <row r="30" customFormat="false" ht="87.75" hidden="false" customHeight="true" outlineLevel="0" collapsed="false">
      <c r="A30" s="18" t="n">
        <v>100</v>
      </c>
      <c r="B30" s="18" t="s">
        <v>204</v>
      </c>
      <c r="C30" s="18" t="s">
        <v>205</v>
      </c>
      <c r="D30" s="18" t="s">
        <v>880</v>
      </c>
      <c r="E30" s="18" t="s">
        <v>881</v>
      </c>
      <c r="F30" s="18" t="s">
        <v>367</v>
      </c>
      <c r="G30" s="18" t="s">
        <v>882</v>
      </c>
      <c r="H30" s="18"/>
      <c r="I30" s="19" t="s">
        <v>5</v>
      </c>
      <c r="J30" s="19" t="s">
        <v>73</v>
      </c>
      <c r="K30" s="19" t="s">
        <v>36</v>
      </c>
      <c r="L30" s="20" t="s">
        <v>883</v>
      </c>
      <c r="M30" s="18" t="s">
        <v>884</v>
      </c>
      <c r="N30" s="18" t="s">
        <v>210</v>
      </c>
      <c r="O30" s="18" t="s">
        <v>885</v>
      </c>
    </row>
  </sheetData>
  <mergeCells count="2">
    <mergeCell ref="A1:O1"/>
    <mergeCell ref="A2:O2"/>
  </mergeCells>
  <conditionalFormatting sqref="I6:I30">
    <cfRule type="expression" priority="2" aboveAverage="0" equalAverage="0" bottom="0" percent="0" rank="0" text="" dxfId="0">
      <formula>I6="VALID_TARGET_REFERENCE"</formula>
    </cfRule>
    <cfRule type="expression" priority="3" aboveAverage="0" equalAverage="0" bottom="0" percent="0" rank="0" text="" dxfId="1">
      <formula>I6="INVALID_TARGET_REFERENCE"</formula>
    </cfRule>
    <cfRule type="expression" priority="4" aboveAverage="0" equalAverage="0" bottom="0" percent="0" rank="0" text="" dxfId="2">
      <formula>I6="UNCERTAIN"</formula>
    </cfRule>
  </conditionalFormatting>
  <dataValidations count="3">
    <dataValidation allowBlank="false" errorStyle="stop" operator="between" showDropDown="false" showErrorMessage="false" showInputMessage="false" sqref="I6:I30" type="list">
      <formula1>Lists!$A$2:$A$4</formula1>
      <formula2>0</formula2>
    </dataValidation>
    <dataValidation allowBlank="false" errorStyle="stop" operator="between" showDropDown="false" showErrorMessage="false" showInputMessage="false" sqref="J6:J30" type="list">
      <formula1>Lists!$B$2:$B$4</formula1>
      <formula2>0</formula2>
    </dataValidation>
    <dataValidation allowBlank="false" errorStyle="stop" operator="between" showDropDown="false" showErrorMessage="false" showInputMessage="false" sqref="K6:K30" type="list">
      <formula1>Lists!$C$2:$C$14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20"/>
    <col collapsed="false" customWidth="true" hidden="false" outlineLevel="0" max="4" min="4" style="1" width="36"/>
    <col collapsed="false" customWidth="true" hidden="false" outlineLevel="0" max="5" min="5" style="1" width="42"/>
    <col collapsed="false" customWidth="true" hidden="false" outlineLevel="0" max="6" min="6" style="1" width="9"/>
    <col collapsed="false" customWidth="true" hidden="false" outlineLevel="0" max="7" min="7" style="1" width="13"/>
    <col collapsed="false" customWidth="true" hidden="false" outlineLevel="0" max="8" min="8" style="1" width="28"/>
    <col collapsed="false" customWidth="true" hidden="false" outlineLevel="0" max="9" min="9" style="1" width="26"/>
    <col collapsed="false" customWidth="true" hidden="false" outlineLevel="0" max="10" min="10" style="1" width="13"/>
    <col collapsed="false" customWidth="true" hidden="false" outlineLevel="0" max="12" min="11" style="1" width="34"/>
    <col collapsed="false" customWidth="true" hidden="false" outlineLevel="0" max="13" min="13" style="1" width="24"/>
    <col collapsed="false" customWidth="true" hidden="false" outlineLevel="0" max="14" min="14" style="1" width="16"/>
    <col collapsed="false" customWidth="true" hidden="false" outlineLevel="0" max="15" min="15" style="1" width="18"/>
  </cols>
  <sheetData>
    <row r="1" customFormat="false" ht="25.5" hidden="false" customHeight="true" outlineLevel="0" collapsed="false">
      <c r="A1" s="13" t="s">
        <v>886</v>
      </c>
      <c r="B1" s="13"/>
      <c r="C1" s="13"/>
      <c r="D1" s="13"/>
      <c r="E1" s="13"/>
      <c r="F1" s="13"/>
      <c r="G1" s="13"/>
      <c r="H1" s="13"/>
      <c r="I1" s="13"/>
      <c r="J1" s="13"/>
      <c r="K1" s="13"/>
      <c r="L1" s="13"/>
      <c r="M1" s="13"/>
      <c r="N1" s="13"/>
      <c r="O1" s="13"/>
    </row>
    <row r="2" customFormat="false" ht="31.5" hidden="false" customHeight="true" outlineLevel="0" collapsed="false">
      <c r="A2" s="14" t="s">
        <v>77</v>
      </c>
      <c r="B2" s="14"/>
      <c r="C2" s="14"/>
      <c r="D2" s="14"/>
      <c r="E2" s="14"/>
      <c r="F2" s="14"/>
      <c r="G2" s="14"/>
      <c r="H2" s="14"/>
      <c r="I2" s="14"/>
      <c r="J2" s="14"/>
      <c r="K2" s="14"/>
      <c r="L2" s="14"/>
      <c r="M2" s="14"/>
      <c r="N2" s="14"/>
      <c r="O2" s="14"/>
    </row>
    <row r="4" customFormat="false" ht="15" hidden="false" customHeight="false" outlineLevel="0" collapsed="false">
      <c r="A4" s="15" t="s">
        <v>78</v>
      </c>
      <c r="I4" s="16" t="s">
        <v>33</v>
      </c>
      <c r="J4" s="16" t="s">
        <v>71</v>
      </c>
      <c r="K4" s="16" t="s">
        <v>79</v>
      </c>
      <c r="L4" s="16" t="s">
        <v>80</v>
      </c>
    </row>
    <row r="5" customFormat="false" ht="30" hidden="false" customHeight="true" outlineLevel="0" collapsed="false">
      <c r="A5" s="17" t="s">
        <v>81</v>
      </c>
      <c r="B5" s="17" t="s">
        <v>82</v>
      </c>
      <c r="C5" s="17" t="s">
        <v>83</v>
      </c>
      <c r="D5" s="17" t="s">
        <v>84</v>
      </c>
      <c r="E5" s="17" t="s">
        <v>85</v>
      </c>
      <c r="F5" s="17" t="s">
        <v>86</v>
      </c>
      <c r="G5" s="17" t="s">
        <v>87</v>
      </c>
      <c r="H5" s="17" t="s">
        <v>88</v>
      </c>
      <c r="I5" s="17" t="s">
        <v>33</v>
      </c>
      <c r="J5" s="17" t="s">
        <v>71</v>
      </c>
      <c r="K5" s="17" t="s">
        <v>79</v>
      </c>
      <c r="L5" s="17" t="s">
        <v>80</v>
      </c>
      <c r="M5" s="17" t="s">
        <v>89</v>
      </c>
      <c r="N5" s="17" t="s">
        <v>90</v>
      </c>
      <c r="O5" s="17" t="s">
        <v>91</v>
      </c>
    </row>
    <row r="6" customFormat="false" ht="87.75" hidden="false" customHeight="true" outlineLevel="0" collapsed="false">
      <c r="A6" s="18" t="n">
        <v>101</v>
      </c>
      <c r="B6" s="18" t="s">
        <v>887</v>
      </c>
      <c r="C6" s="18" t="s">
        <v>888</v>
      </c>
      <c r="D6" s="18" t="s">
        <v>889</v>
      </c>
      <c r="E6" s="18" t="s">
        <v>890</v>
      </c>
      <c r="F6" s="18" t="s">
        <v>367</v>
      </c>
      <c r="G6" s="18" t="s">
        <v>891</v>
      </c>
      <c r="H6" s="18"/>
      <c r="I6" s="19" t="s">
        <v>5</v>
      </c>
      <c r="J6" s="19" t="s">
        <v>73</v>
      </c>
      <c r="K6" s="19" t="s">
        <v>36</v>
      </c>
      <c r="L6" s="19"/>
      <c r="M6" s="18" t="s">
        <v>892</v>
      </c>
      <c r="N6" s="18" t="s">
        <v>893</v>
      </c>
      <c r="O6" s="18" t="s">
        <v>894</v>
      </c>
    </row>
    <row r="7" customFormat="false" ht="87.75" hidden="false" customHeight="true" outlineLevel="0" collapsed="false">
      <c r="A7" s="18" t="n">
        <v>102</v>
      </c>
      <c r="B7" s="18" t="s">
        <v>895</v>
      </c>
      <c r="C7" s="18" t="s">
        <v>896</v>
      </c>
      <c r="D7" s="18" t="s">
        <v>897</v>
      </c>
      <c r="E7" s="18" t="s">
        <v>898</v>
      </c>
      <c r="F7" s="18" t="s">
        <v>704</v>
      </c>
      <c r="G7" s="18" t="s">
        <v>705</v>
      </c>
      <c r="H7" s="18"/>
      <c r="I7" s="19" t="s">
        <v>5</v>
      </c>
      <c r="J7" s="19" t="s">
        <v>73</v>
      </c>
      <c r="K7" s="19" t="s">
        <v>36</v>
      </c>
      <c r="L7" s="19"/>
      <c r="M7" s="18" t="s">
        <v>899</v>
      </c>
      <c r="N7" s="18" t="s">
        <v>900</v>
      </c>
      <c r="O7" s="18" t="s">
        <v>901</v>
      </c>
    </row>
    <row r="8" customFormat="false" ht="87.75" hidden="false" customHeight="true" outlineLevel="0" collapsed="false">
      <c r="A8" s="18" t="n">
        <v>103</v>
      </c>
      <c r="B8" s="18" t="s">
        <v>627</v>
      </c>
      <c r="C8" s="18" t="s">
        <v>628</v>
      </c>
      <c r="D8" s="18" t="s">
        <v>902</v>
      </c>
      <c r="E8" s="18" t="s">
        <v>903</v>
      </c>
      <c r="F8" s="18" t="s">
        <v>747</v>
      </c>
      <c r="G8" s="18" t="s">
        <v>840</v>
      </c>
      <c r="H8" s="18" t="s">
        <v>904</v>
      </c>
      <c r="I8" s="19" t="s">
        <v>5</v>
      </c>
      <c r="J8" s="19" t="s">
        <v>73</v>
      </c>
      <c r="K8" s="19" t="s">
        <v>36</v>
      </c>
      <c r="L8" s="20" t="s">
        <v>905</v>
      </c>
      <c r="M8" s="18" t="s">
        <v>906</v>
      </c>
      <c r="N8" s="18" t="s">
        <v>635</v>
      </c>
      <c r="O8" s="18" t="s">
        <v>907</v>
      </c>
    </row>
    <row r="9" customFormat="false" ht="87.75" hidden="false" customHeight="true" outlineLevel="0" collapsed="false">
      <c r="A9" s="18" t="n">
        <v>104</v>
      </c>
      <c r="B9" s="18" t="s">
        <v>92</v>
      </c>
      <c r="C9" s="18" t="s">
        <v>92</v>
      </c>
      <c r="D9" s="18" t="s">
        <v>908</v>
      </c>
      <c r="E9" s="18"/>
      <c r="F9" s="18" t="s">
        <v>909</v>
      </c>
      <c r="G9" s="18" t="s">
        <v>910</v>
      </c>
      <c r="H9" s="18" t="s">
        <v>911</v>
      </c>
      <c r="I9" s="19" t="s">
        <v>5</v>
      </c>
      <c r="J9" s="19" t="s">
        <v>73</v>
      </c>
      <c r="K9" s="19" t="s">
        <v>36</v>
      </c>
      <c r="L9" s="19"/>
      <c r="M9" s="18" t="s">
        <v>912</v>
      </c>
      <c r="N9" s="18" t="s">
        <v>100</v>
      </c>
      <c r="O9" s="18" t="s">
        <v>913</v>
      </c>
    </row>
    <row r="10" customFormat="false" ht="87.75" hidden="false" customHeight="true" outlineLevel="0" collapsed="false">
      <c r="A10" s="18" t="n">
        <v>105</v>
      </c>
      <c r="B10" s="18" t="s">
        <v>92</v>
      </c>
      <c r="C10" s="18" t="s">
        <v>92</v>
      </c>
      <c r="D10" s="18" t="s">
        <v>914</v>
      </c>
      <c r="E10" s="18" t="s">
        <v>915</v>
      </c>
      <c r="F10" s="18" t="s">
        <v>658</v>
      </c>
      <c r="G10" s="18" t="s">
        <v>916</v>
      </c>
      <c r="H10" s="18" t="s">
        <v>917</v>
      </c>
      <c r="I10" s="19" t="s">
        <v>5</v>
      </c>
      <c r="J10" s="19" t="s">
        <v>73</v>
      </c>
      <c r="K10" s="19" t="s">
        <v>36</v>
      </c>
      <c r="L10" s="19"/>
      <c r="M10" s="18" t="s">
        <v>918</v>
      </c>
      <c r="N10" s="18" t="s">
        <v>100</v>
      </c>
      <c r="O10" s="18" t="s">
        <v>919</v>
      </c>
    </row>
    <row r="11" customFormat="false" ht="87.75" hidden="false" customHeight="true" outlineLevel="0" collapsed="false">
      <c r="A11" s="18" t="n">
        <v>106</v>
      </c>
      <c r="B11" s="18" t="s">
        <v>132</v>
      </c>
      <c r="C11" s="18" t="s">
        <v>132</v>
      </c>
      <c r="D11" s="18" t="s">
        <v>920</v>
      </c>
      <c r="E11" s="18"/>
      <c r="F11" s="18" t="s">
        <v>649</v>
      </c>
      <c r="G11" s="18" t="s">
        <v>921</v>
      </c>
      <c r="H11" s="18" t="s">
        <v>922</v>
      </c>
      <c r="I11" s="19" t="s">
        <v>9</v>
      </c>
      <c r="J11" s="19" t="s">
        <v>73</v>
      </c>
      <c r="K11" s="19" t="s">
        <v>44</v>
      </c>
      <c r="L11" s="19" t="s">
        <v>923</v>
      </c>
      <c r="M11" s="18" t="s">
        <v>924</v>
      </c>
      <c r="N11" s="18" t="s">
        <v>139</v>
      </c>
      <c r="O11" s="18" t="s">
        <v>925</v>
      </c>
    </row>
    <row r="12" customFormat="false" ht="87.75" hidden="false" customHeight="true" outlineLevel="0" collapsed="false">
      <c r="A12" s="18" t="n">
        <v>107</v>
      </c>
      <c r="B12" s="18" t="s">
        <v>92</v>
      </c>
      <c r="C12" s="18" t="s">
        <v>92</v>
      </c>
      <c r="D12" s="18" t="s">
        <v>926</v>
      </c>
      <c r="E12" s="18"/>
      <c r="F12" s="18" t="s">
        <v>312</v>
      </c>
      <c r="G12" s="18" t="s">
        <v>927</v>
      </c>
      <c r="H12" s="18" t="s">
        <v>928</v>
      </c>
      <c r="I12" s="19" t="s">
        <v>5</v>
      </c>
      <c r="J12" s="19" t="s">
        <v>74</v>
      </c>
      <c r="K12" s="19" t="s">
        <v>40</v>
      </c>
      <c r="L12" s="20" t="s">
        <v>929</v>
      </c>
      <c r="M12" s="18" t="s">
        <v>930</v>
      </c>
      <c r="N12" s="18" t="s">
        <v>100</v>
      </c>
      <c r="O12" s="18" t="s">
        <v>931</v>
      </c>
    </row>
    <row r="13" customFormat="false" ht="87.75" hidden="false" customHeight="true" outlineLevel="0" collapsed="false">
      <c r="A13" s="18" t="n">
        <v>108</v>
      </c>
      <c r="B13" s="18" t="s">
        <v>932</v>
      </c>
      <c r="C13" s="18" t="s">
        <v>933</v>
      </c>
      <c r="D13" s="18" t="s">
        <v>934</v>
      </c>
      <c r="E13" s="18" t="s">
        <v>935</v>
      </c>
      <c r="F13" s="18" t="s">
        <v>858</v>
      </c>
      <c r="G13" s="18" t="s">
        <v>936</v>
      </c>
      <c r="H13" s="18" t="s">
        <v>937</v>
      </c>
      <c r="I13" s="19" t="s">
        <v>13</v>
      </c>
      <c r="J13" s="19" t="s">
        <v>75</v>
      </c>
      <c r="K13" s="19" t="s">
        <v>58</v>
      </c>
      <c r="L13" s="19" t="s">
        <v>938</v>
      </c>
      <c r="M13" s="18" t="s">
        <v>939</v>
      </c>
      <c r="N13" s="18" t="s">
        <v>940</v>
      </c>
      <c r="O13" s="18" t="s">
        <v>941</v>
      </c>
    </row>
    <row r="14" customFormat="false" ht="87.75" hidden="false" customHeight="true" outlineLevel="0" collapsed="false">
      <c r="A14" s="18" t="n">
        <v>109</v>
      </c>
      <c r="B14" s="18" t="s">
        <v>161</v>
      </c>
      <c r="C14" s="18" t="s">
        <v>162</v>
      </c>
      <c r="D14" s="18" t="s">
        <v>942</v>
      </c>
      <c r="E14" s="18" t="s">
        <v>943</v>
      </c>
      <c r="F14" s="18" t="s">
        <v>858</v>
      </c>
      <c r="G14" s="18" t="s">
        <v>869</v>
      </c>
      <c r="H14" s="18"/>
      <c r="I14" s="19" t="s">
        <v>5</v>
      </c>
      <c r="J14" s="19" t="s">
        <v>73</v>
      </c>
      <c r="K14" s="19" t="s">
        <v>36</v>
      </c>
      <c r="L14" s="19"/>
      <c r="M14" s="18" t="s">
        <v>944</v>
      </c>
      <c r="N14" s="18" t="s">
        <v>945</v>
      </c>
      <c r="O14" s="18" t="s">
        <v>946</v>
      </c>
    </row>
    <row r="15" customFormat="false" ht="87.75" hidden="false" customHeight="true" outlineLevel="0" collapsed="false">
      <c r="A15" s="18" t="n">
        <v>110</v>
      </c>
      <c r="B15" s="18" t="s">
        <v>947</v>
      </c>
      <c r="C15" s="18" t="s">
        <v>948</v>
      </c>
      <c r="D15" s="18" t="s">
        <v>949</v>
      </c>
      <c r="E15" s="18" t="s">
        <v>950</v>
      </c>
      <c r="F15" s="18" t="s">
        <v>951</v>
      </c>
      <c r="G15" s="18" t="s">
        <v>952</v>
      </c>
      <c r="H15" s="18" t="s">
        <v>953</v>
      </c>
      <c r="I15" s="19" t="s">
        <v>5</v>
      </c>
      <c r="J15" s="19" t="s">
        <v>73</v>
      </c>
      <c r="K15" s="19" t="s">
        <v>38</v>
      </c>
      <c r="L15" s="19" t="s">
        <v>954</v>
      </c>
      <c r="M15" s="18" t="s">
        <v>955</v>
      </c>
      <c r="N15" s="18" t="s">
        <v>956</v>
      </c>
      <c r="O15" s="18" t="s">
        <v>957</v>
      </c>
    </row>
    <row r="16" customFormat="false" ht="87.75" hidden="false" customHeight="true" outlineLevel="0" collapsed="false">
      <c r="A16" s="18" t="n">
        <v>111</v>
      </c>
      <c r="B16" s="18" t="s">
        <v>958</v>
      </c>
      <c r="C16" s="18" t="s">
        <v>173</v>
      </c>
      <c r="D16" s="18" t="s">
        <v>959</v>
      </c>
      <c r="E16" s="18" t="s">
        <v>960</v>
      </c>
      <c r="F16" s="18" t="s">
        <v>116</v>
      </c>
      <c r="G16" s="18" t="s">
        <v>961</v>
      </c>
      <c r="H16" s="18"/>
      <c r="I16" s="19" t="s">
        <v>5</v>
      </c>
      <c r="J16" s="19" t="s">
        <v>73</v>
      </c>
      <c r="K16" s="19" t="s">
        <v>36</v>
      </c>
      <c r="L16" s="19"/>
      <c r="M16" s="18" t="s">
        <v>962</v>
      </c>
      <c r="N16" s="18" t="s">
        <v>963</v>
      </c>
      <c r="O16" s="18" t="s">
        <v>964</v>
      </c>
    </row>
    <row r="17" customFormat="false" ht="87.75" hidden="false" customHeight="true" outlineLevel="0" collapsed="false">
      <c r="A17" s="18" t="n">
        <v>112</v>
      </c>
      <c r="B17" s="18" t="s">
        <v>965</v>
      </c>
      <c r="C17" s="18" t="s">
        <v>965</v>
      </c>
      <c r="D17" s="18" t="s">
        <v>966</v>
      </c>
      <c r="E17" s="18" t="s">
        <v>967</v>
      </c>
      <c r="F17" s="18" t="s">
        <v>265</v>
      </c>
      <c r="G17" s="18" t="s">
        <v>968</v>
      </c>
      <c r="H17" s="18" t="s">
        <v>969</v>
      </c>
      <c r="I17" s="19" t="s">
        <v>13</v>
      </c>
      <c r="J17" s="19" t="s">
        <v>75</v>
      </c>
      <c r="K17" s="19" t="s">
        <v>60</v>
      </c>
      <c r="L17" s="20" t="s">
        <v>970</v>
      </c>
      <c r="M17" s="18" t="s">
        <v>971</v>
      </c>
      <c r="N17" s="18" t="s">
        <v>972</v>
      </c>
      <c r="O17" s="18" t="s">
        <v>973</v>
      </c>
    </row>
    <row r="18" customFormat="false" ht="87.75" hidden="false" customHeight="true" outlineLevel="0" collapsed="false">
      <c r="A18" s="18" t="n">
        <v>113</v>
      </c>
      <c r="B18" s="18" t="s">
        <v>189</v>
      </c>
      <c r="C18" s="18" t="s">
        <v>190</v>
      </c>
      <c r="D18" s="18" t="s">
        <v>974</v>
      </c>
      <c r="E18" s="18" t="s">
        <v>975</v>
      </c>
      <c r="F18" s="18" t="s">
        <v>858</v>
      </c>
      <c r="G18" s="18" t="s">
        <v>869</v>
      </c>
      <c r="H18" s="18" t="s">
        <v>976</v>
      </c>
      <c r="I18" s="19" t="s">
        <v>5</v>
      </c>
      <c r="J18" s="19" t="s">
        <v>73</v>
      </c>
      <c r="K18" s="19" t="s">
        <v>36</v>
      </c>
      <c r="L18" s="19" t="s">
        <v>977</v>
      </c>
      <c r="M18" s="18" t="s">
        <v>978</v>
      </c>
      <c r="N18" s="18" t="s">
        <v>218</v>
      </c>
      <c r="O18" s="18" t="s">
        <v>979</v>
      </c>
    </row>
    <row r="19" customFormat="false" ht="87.75" hidden="false" customHeight="true" outlineLevel="0" collapsed="false">
      <c r="A19" s="18" t="n">
        <v>114</v>
      </c>
      <c r="B19" s="18" t="s">
        <v>221</v>
      </c>
      <c r="C19" s="18" t="s">
        <v>221</v>
      </c>
      <c r="D19" s="18" t="s">
        <v>980</v>
      </c>
      <c r="E19" s="18"/>
      <c r="F19" s="18" t="s">
        <v>106</v>
      </c>
      <c r="G19" s="18" t="s">
        <v>176</v>
      </c>
      <c r="H19" s="18"/>
      <c r="I19" s="19" t="s">
        <v>5</v>
      </c>
      <c r="J19" s="19" t="s">
        <v>73</v>
      </c>
      <c r="K19" s="19" t="s">
        <v>36</v>
      </c>
      <c r="L19" s="19"/>
      <c r="M19" s="18" t="s">
        <v>981</v>
      </c>
      <c r="N19" s="18" t="s">
        <v>799</v>
      </c>
      <c r="O19" s="18" t="s">
        <v>982</v>
      </c>
    </row>
    <row r="20" customFormat="false" ht="87.75" hidden="false" customHeight="true" outlineLevel="0" collapsed="false">
      <c r="A20" s="18" t="n">
        <v>115</v>
      </c>
      <c r="B20" s="18" t="s">
        <v>983</v>
      </c>
      <c r="C20" s="18" t="s">
        <v>984</v>
      </c>
      <c r="D20" s="18" t="s">
        <v>985</v>
      </c>
      <c r="E20" s="18" t="s">
        <v>986</v>
      </c>
      <c r="F20" s="18" t="s">
        <v>858</v>
      </c>
      <c r="G20" s="18" t="s">
        <v>987</v>
      </c>
      <c r="H20" s="18"/>
      <c r="I20" s="19" t="s">
        <v>5</v>
      </c>
      <c r="J20" s="19" t="s">
        <v>73</v>
      </c>
      <c r="K20" s="19" t="s">
        <v>38</v>
      </c>
      <c r="L20" s="19" t="s">
        <v>988</v>
      </c>
      <c r="M20" s="18" t="s">
        <v>989</v>
      </c>
      <c r="N20" s="18" t="s">
        <v>990</v>
      </c>
      <c r="O20" s="18" t="s">
        <v>991</v>
      </c>
    </row>
    <row r="21" customFormat="false" ht="87.75" hidden="false" customHeight="true" outlineLevel="0" collapsed="false">
      <c r="A21" s="18" t="n">
        <v>116</v>
      </c>
      <c r="B21" s="18" t="s">
        <v>992</v>
      </c>
      <c r="C21" s="18" t="s">
        <v>486</v>
      </c>
      <c r="D21" s="21" t="s">
        <v>993</v>
      </c>
      <c r="E21" s="18" t="s">
        <v>488</v>
      </c>
      <c r="F21" s="18" t="s">
        <v>489</v>
      </c>
      <c r="G21" s="18" t="s">
        <v>490</v>
      </c>
      <c r="H21" s="18" t="s">
        <v>994</v>
      </c>
      <c r="I21" s="19" t="s">
        <v>5</v>
      </c>
      <c r="J21" s="19" t="s">
        <v>73</v>
      </c>
      <c r="K21" s="19" t="s">
        <v>38</v>
      </c>
      <c r="L21" s="20" t="s">
        <v>995</v>
      </c>
      <c r="M21" s="18" t="s">
        <v>996</v>
      </c>
      <c r="N21" s="18" t="s">
        <v>997</v>
      </c>
      <c r="O21" s="18" t="s">
        <v>998</v>
      </c>
    </row>
    <row r="22" customFormat="false" ht="87.75" hidden="false" customHeight="true" outlineLevel="0" collapsed="false">
      <c r="A22" s="18" t="n">
        <v>117</v>
      </c>
      <c r="B22" s="18" t="s">
        <v>132</v>
      </c>
      <c r="C22" s="18" t="s">
        <v>132</v>
      </c>
      <c r="D22" s="18" t="s">
        <v>999</v>
      </c>
      <c r="E22" s="18"/>
      <c r="F22" s="18" t="s">
        <v>95</v>
      </c>
      <c r="G22" s="18" t="s">
        <v>1000</v>
      </c>
      <c r="H22" s="18" t="s">
        <v>1001</v>
      </c>
      <c r="I22" s="19" t="s">
        <v>5</v>
      </c>
      <c r="J22" s="19" t="s">
        <v>73</v>
      </c>
      <c r="K22" s="19" t="s">
        <v>36</v>
      </c>
      <c r="L22" s="20" t="s">
        <v>1002</v>
      </c>
      <c r="M22" s="18" t="s">
        <v>1003</v>
      </c>
      <c r="N22" s="18" t="s">
        <v>139</v>
      </c>
      <c r="O22" s="18" t="s">
        <v>1004</v>
      </c>
    </row>
    <row r="23" customFormat="false" ht="87.75" hidden="false" customHeight="true" outlineLevel="0" collapsed="false">
      <c r="A23" s="18" t="n">
        <v>118</v>
      </c>
      <c r="B23" s="18" t="s">
        <v>92</v>
      </c>
      <c r="C23" s="18" t="s">
        <v>92</v>
      </c>
      <c r="D23" s="18" t="s">
        <v>1005</v>
      </c>
      <c r="E23" s="18"/>
      <c r="F23" s="18" t="s">
        <v>241</v>
      </c>
      <c r="G23" s="18" t="s">
        <v>1006</v>
      </c>
      <c r="H23" s="18" t="s">
        <v>1007</v>
      </c>
      <c r="I23" s="19" t="s">
        <v>5</v>
      </c>
      <c r="J23" s="19" t="s">
        <v>73</v>
      </c>
      <c r="K23" s="19" t="s">
        <v>36</v>
      </c>
      <c r="L23" s="19"/>
      <c r="M23" s="18" t="s">
        <v>1008</v>
      </c>
      <c r="N23" s="18" t="s">
        <v>100</v>
      </c>
      <c r="O23" s="18" t="s">
        <v>1009</v>
      </c>
    </row>
    <row r="24" customFormat="false" ht="87.75" hidden="false" customHeight="true" outlineLevel="0" collapsed="false">
      <c r="A24" s="18" t="n">
        <v>119</v>
      </c>
      <c r="B24" s="18" t="s">
        <v>1010</v>
      </c>
      <c r="C24" s="18" t="s">
        <v>1010</v>
      </c>
      <c r="D24" s="18" t="s">
        <v>1011</v>
      </c>
      <c r="E24" s="18" t="s">
        <v>1012</v>
      </c>
      <c r="F24" s="18" t="s">
        <v>116</v>
      </c>
      <c r="G24" s="18" t="s">
        <v>729</v>
      </c>
      <c r="H24" s="18" t="s">
        <v>1013</v>
      </c>
      <c r="I24" s="19" t="s">
        <v>5</v>
      </c>
      <c r="J24" s="19" t="s">
        <v>73</v>
      </c>
      <c r="K24" s="19" t="s">
        <v>36</v>
      </c>
      <c r="L24" s="19"/>
      <c r="M24" s="18" t="s">
        <v>1014</v>
      </c>
      <c r="N24" s="18" t="s">
        <v>1015</v>
      </c>
      <c r="O24" s="18" t="s">
        <v>1016</v>
      </c>
    </row>
    <row r="25" customFormat="false" ht="87.75" hidden="false" customHeight="true" outlineLevel="0" collapsed="false">
      <c r="A25" s="18" t="n">
        <v>120</v>
      </c>
      <c r="B25" s="18" t="s">
        <v>1017</v>
      </c>
      <c r="C25" s="18" t="s">
        <v>1018</v>
      </c>
      <c r="D25" s="18" t="s">
        <v>1019</v>
      </c>
      <c r="E25" s="18" t="s">
        <v>1020</v>
      </c>
      <c r="F25" s="18" t="s">
        <v>505</v>
      </c>
      <c r="G25" s="18" t="s">
        <v>1021</v>
      </c>
      <c r="H25" s="18"/>
      <c r="I25" s="19" t="s">
        <v>5</v>
      </c>
      <c r="J25" s="19" t="s">
        <v>73</v>
      </c>
      <c r="K25" s="19" t="s">
        <v>36</v>
      </c>
      <c r="L25" s="19"/>
      <c r="M25" s="18" t="s">
        <v>1022</v>
      </c>
      <c r="N25" s="18" t="s">
        <v>1023</v>
      </c>
      <c r="O25" s="18" t="s">
        <v>1024</v>
      </c>
    </row>
    <row r="26" customFormat="false" ht="87.75" hidden="false" customHeight="true" outlineLevel="0" collapsed="false">
      <c r="A26" s="18" t="n">
        <v>121</v>
      </c>
      <c r="B26" s="18" t="s">
        <v>580</v>
      </c>
      <c r="C26" s="18" t="s">
        <v>581</v>
      </c>
      <c r="D26" s="18" t="s">
        <v>1025</v>
      </c>
      <c r="E26" s="18" t="s">
        <v>1026</v>
      </c>
      <c r="F26" s="18" t="s">
        <v>336</v>
      </c>
      <c r="G26" s="18" t="s">
        <v>1027</v>
      </c>
      <c r="H26" s="18" t="s">
        <v>1028</v>
      </c>
      <c r="I26" s="19" t="s">
        <v>5</v>
      </c>
      <c r="J26" s="19" t="s">
        <v>73</v>
      </c>
      <c r="K26" s="19" t="s">
        <v>36</v>
      </c>
      <c r="L26" s="20" t="s">
        <v>1029</v>
      </c>
      <c r="M26" s="18" t="s">
        <v>1030</v>
      </c>
      <c r="N26" s="18" t="s">
        <v>587</v>
      </c>
      <c r="O26" s="18" t="s">
        <v>1031</v>
      </c>
    </row>
    <row r="27" customFormat="false" ht="87.75" hidden="false" customHeight="true" outlineLevel="0" collapsed="false">
      <c r="A27" s="18" t="n">
        <v>122</v>
      </c>
      <c r="B27" s="18" t="s">
        <v>1032</v>
      </c>
      <c r="C27" s="18" t="s">
        <v>1033</v>
      </c>
      <c r="D27" s="18" t="s">
        <v>1034</v>
      </c>
      <c r="E27" s="18" t="s">
        <v>1035</v>
      </c>
      <c r="F27" s="18" t="s">
        <v>106</v>
      </c>
      <c r="G27" s="18" t="s">
        <v>1036</v>
      </c>
      <c r="H27" s="18" t="s">
        <v>1037</v>
      </c>
      <c r="I27" s="19" t="s">
        <v>5</v>
      </c>
      <c r="J27" s="19" t="s">
        <v>73</v>
      </c>
      <c r="K27" s="19" t="s">
        <v>36</v>
      </c>
      <c r="L27" s="19"/>
      <c r="M27" s="18" t="s">
        <v>1038</v>
      </c>
      <c r="N27" s="18" t="s">
        <v>1039</v>
      </c>
      <c r="O27" s="18" t="s">
        <v>1040</v>
      </c>
    </row>
    <row r="28" customFormat="false" ht="87.75" hidden="false" customHeight="true" outlineLevel="0" collapsed="false">
      <c r="A28" s="18" t="n">
        <v>123</v>
      </c>
      <c r="B28" s="18" t="s">
        <v>204</v>
      </c>
      <c r="C28" s="18" t="s">
        <v>205</v>
      </c>
      <c r="D28" s="18" t="s">
        <v>1041</v>
      </c>
      <c r="E28" s="18"/>
      <c r="F28" s="18" t="s">
        <v>858</v>
      </c>
      <c r="G28" s="18" t="s">
        <v>1042</v>
      </c>
      <c r="H28" s="18"/>
      <c r="I28" s="19" t="s">
        <v>5</v>
      </c>
      <c r="J28" s="19" t="s">
        <v>73</v>
      </c>
      <c r="K28" s="19" t="s">
        <v>36</v>
      </c>
      <c r="L28" s="19"/>
      <c r="M28" s="18" t="s">
        <v>1043</v>
      </c>
      <c r="N28" s="18" t="s">
        <v>210</v>
      </c>
      <c r="O28" s="18" t="s">
        <v>1044</v>
      </c>
    </row>
    <row r="29" customFormat="false" ht="87.75" hidden="false" customHeight="true" outlineLevel="0" collapsed="false">
      <c r="A29" s="18" t="n">
        <v>124</v>
      </c>
      <c r="B29" s="18" t="s">
        <v>92</v>
      </c>
      <c r="C29" s="18" t="s">
        <v>1045</v>
      </c>
      <c r="D29" s="18" t="s">
        <v>1046</v>
      </c>
      <c r="E29" s="18" t="s">
        <v>1047</v>
      </c>
      <c r="F29" s="18" t="s">
        <v>1048</v>
      </c>
      <c r="G29" s="18" t="s">
        <v>1049</v>
      </c>
      <c r="H29" s="18" t="s">
        <v>1050</v>
      </c>
      <c r="I29" s="19" t="s">
        <v>9</v>
      </c>
      <c r="J29" s="19" t="s">
        <v>73</v>
      </c>
      <c r="K29" s="19" t="s">
        <v>50</v>
      </c>
      <c r="L29" s="19" t="s">
        <v>1051</v>
      </c>
      <c r="M29" s="18" t="s">
        <v>1052</v>
      </c>
      <c r="N29" s="18" t="s">
        <v>1053</v>
      </c>
      <c r="O29" s="18" t="s">
        <v>1054</v>
      </c>
    </row>
    <row r="30" customFormat="false" ht="87.75" hidden="false" customHeight="true" outlineLevel="0" collapsed="false">
      <c r="A30" s="18" t="n">
        <v>125</v>
      </c>
      <c r="B30" s="18" t="s">
        <v>189</v>
      </c>
      <c r="C30" s="18" t="s">
        <v>190</v>
      </c>
      <c r="D30" s="18" t="s">
        <v>1055</v>
      </c>
      <c r="E30" s="18" t="s">
        <v>1056</v>
      </c>
      <c r="F30" s="18" t="s">
        <v>489</v>
      </c>
      <c r="G30" s="18" t="s">
        <v>1057</v>
      </c>
      <c r="H30" s="18" t="s">
        <v>1058</v>
      </c>
      <c r="I30" s="19" t="s">
        <v>5</v>
      </c>
      <c r="J30" s="19" t="s">
        <v>73</v>
      </c>
      <c r="K30" s="19" t="s">
        <v>36</v>
      </c>
      <c r="L30" s="19"/>
      <c r="M30" s="18" t="s">
        <v>1059</v>
      </c>
      <c r="N30" s="18" t="s">
        <v>197</v>
      </c>
      <c r="O30" s="18" t="s">
        <v>1060</v>
      </c>
    </row>
  </sheetData>
  <mergeCells count="2">
    <mergeCell ref="A1:O1"/>
    <mergeCell ref="A2:O2"/>
  </mergeCells>
  <conditionalFormatting sqref="I6:I30">
    <cfRule type="expression" priority="2" aboveAverage="0" equalAverage="0" bottom="0" percent="0" rank="0" text="" dxfId="0">
      <formula>I6="VALID_TARGET_REFERENCE"</formula>
    </cfRule>
    <cfRule type="expression" priority="3" aboveAverage="0" equalAverage="0" bottom="0" percent="0" rank="0" text="" dxfId="1">
      <formula>I6="INVALID_TARGET_REFERENCE"</formula>
    </cfRule>
    <cfRule type="expression" priority="4" aboveAverage="0" equalAverage="0" bottom="0" percent="0" rank="0" text="" dxfId="2">
      <formula>I6="UNCERTAIN"</formula>
    </cfRule>
  </conditionalFormatting>
  <dataValidations count="3">
    <dataValidation allowBlank="false" errorStyle="stop" operator="between" showDropDown="false" showErrorMessage="false" showInputMessage="false" sqref="I6:I30" type="list">
      <formula1>Lists!$A$2:$A$4</formula1>
      <formula2>0</formula2>
    </dataValidation>
    <dataValidation allowBlank="false" errorStyle="stop" operator="between" showDropDown="false" showErrorMessage="false" showInputMessage="false" sqref="J6:J30" type="list">
      <formula1>Lists!$B$2:$B$4</formula1>
      <formula2>0</formula2>
    </dataValidation>
    <dataValidation allowBlank="false" errorStyle="stop" operator="between" showDropDown="false" showErrorMessage="false" showInputMessage="false" sqref="K6:K30" type="list">
      <formula1>Lists!$C$2:$C$14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20"/>
    <col collapsed="false" customWidth="true" hidden="false" outlineLevel="0" max="4" min="4" style="1" width="36"/>
    <col collapsed="false" customWidth="true" hidden="false" outlineLevel="0" max="5" min="5" style="1" width="42"/>
    <col collapsed="false" customWidth="true" hidden="false" outlineLevel="0" max="6" min="6" style="1" width="9"/>
    <col collapsed="false" customWidth="true" hidden="false" outlineLevel="0" max="7" min="7" style="1" width="13"/>
    <col collapsed="false" customWidth="true" hidden="false" outlineLevel="0" max="8" min="8" style="1" width="28"/>
    <col collapsed="false" customWidth="true" hidden="false" outlineLevel="0" max="9" min="9" style="1" width="26"/>
    <col collapsed="false" customWidth="true" hidden="false" outlineLevel="0" max="10" min="10" style="1" width="13"/>
    <col collapsed="false" customWidth="true" hidden="false" outlineLevel="0" max="12" min="11" style="1" width="34"/>
    <col collapsed="false" customWidth="true" hidden="false" outlineLevel="0" max="13" min="13" style="1" width="24"/>
    <col collapsed="false" customWidth="true" hidden="false" outlineLevel="0" max="14" min="14" style="1" width="16"/>
    <col collapsed="false" customWidth="true" hidden="false" outlineLevel="0" max="15" min="15" style="1" width="18"/>
  </cols>
  <sheetData>
    <row r="1" customFormat="false" ht="25.5" hidden="false" customHeight="true" outlineLevel="0" collapsed="false">
      <c r="A1" s="13" t="s">
        <v>1061</v>
      </c>
      <c r="B1" s="13"/>
      <c r="C1" s="13"/>
      <c r="D1" s="13"/>
      <c r="E1" s="13"/>
      <c r="F1" s="13"/>
      <c r="G1" s="13"/>
      <c r="H1" s="13"/>
      <c r="I1" s="13"/>
      <c r="J1" s="13"/>
      <c r="K1" s="13"/>
      <c r="L1" s="13"/>
      <c r="M1" s="13"/>
      <c r="N1" s="13"/>
      <c r="O1" s="13"/>
    </row>
    <row r="2" customFormat="false" ht="31.5" hidden="false" customHeight="true" outlineLevel="0" collapsed="false">
      <c r="A2" s="14" t="s">
        <v>77</v>
      </c>
      <c r="B2" s="14"/>
      <c r="C2" s="14"/>
      <c r="D2" s="14"/>
      <c r="E2" s="14"/>
      <c r="F2" s="14"/>
      <c r="G2" s="14"/>
      <c r="H2" s="14"/>
      <c r="I2" s="14"/>
      <c r="J2" s="14"/>
      <c r="K2" s="14"/>
      <c r="L2" s="14"/>
      <c r="M2" s="14"/>
      <c r="N2" s="14"/>
      <c r="O2" s="14"/>
    </row>
    <row r="4" customFormat="false" ht="15" hidden="false" customHeight="false" outlineLevel="0" collapsed="false">
      <c r="A4" s="15" t="s">
        <v>78</v>
      </c>
      <c r="I4" s="16" t="s">
        <v>33</v>
      </c>
      <c r="J4" s="16" t="s">
        <v>71</v>
      </c>
      <c r="K4" s="16" t="s">
        <v>79</v>
      </c>
      <c r="L4" s="16" t="s">
        <v>80</v>
      </c>
    </row>
    <row r="5" customFormat="false" ht="30" hidden="false" customHeight="true" outlineLevel="0" collapsed="false">
      <c r="A5" s="17" t="s">
        <v>81</v>
      </c>
      <c r="B5" s="17" t="s">
        <v>82</v>
      </c>
      <c r="C5" s="17" t="s">
        <v>83</v>
      </c>
      <c r="D5" s="17" t="s">
        <v>84</v>
      </c>
      <c r="E5" s="17" t="s">
        <v>85</v>
      </c>
      <c r="F5" s="17" t="s">
        <v>86</v>
      </c>
      <c r="G5" s="17" t="s">
        <v>87</v>
      </c>
      <c r="H5" s="17" t="s">
        <v>88</v>
      </c>
      <c r="I5" s="17" t="s">
        <v>33</v>
      </c>
      <c r="J5" s="17" t="s">
        <v>71</v>
      </c>
      <c r="K5" s="17" t="s">
        <v>79</v>
      </c>
      <c r="L5" s="17" t="s">
        <v>80</v>
      </c>
      <c r="M5" s="17" t="s">
        <v>89</v>
      </c>
      <c r="N5" s="17" t="s">
        <v>90</v>
      </c>
      <c r="O5" s="17" t="s">
        <v>91</v>
      </c>
    </row>
    <row r="6" customFormat="false" ht="87.75" hidden="false" customHeight="true" outlineLevel="0" collapsed="false">
      <c r="A6" s="18" t="n">
        <v>126</v>
      </c>
      <c r="B6" s="18" t="s">
        <v>1062</v>
      </c>
      <c r="C6" s="18" t="s">
        <v>1063</v>
      </c>
      <c r="D6" s="18" t="s">
        <v>1064</v>
      </c>
      <c r="E6" s="18" t="s">
        <v>1065</v>
      </c>
      <c r="F6" s="18" t="s">
        <v>1066</v>
      </c>
      <c r="G6" s="18" t="s">
        <v>1067</v>
      </c>
      <c r="H6" s="18" t="s">
        <v>1068</v>
      </c>
      <c r="I6" s="19" t="s">
        <v>5</v>
      </c>
      <c r="J6" s="19" t="s">
        <v>73</v>
      </c>
      <c r="K6" s="19" t="s">
        <v>36</v>
      </c>
      <c r="L6" s="20" t="s">
        <v>1069</v>
      </c>
      <c r="M6" s="18" t="s">
        <v>1070</v>
      </c>
      <c r="N6" s="18" t="s">
        <v>1071</v>
      </c>
      <c r="O6" s="18" t="s">
        <v>1072</v>
      </c>
    </row>
    <row r="7" customFormat="false" ht="87.75" hidden="false" customHeight="true" outlineLevel="0" collapsed="false">
      <c r="A7" s="18" t="n">
        <v>127</v>
      </c>
      <c r="B7" s="18" t="s">
        <v>132</v>
      </c>
      <c r="C7" s="18" t="s">
        <v>132</v>
      </c>
      <c r="D7" s="18" t="s">
        <v>1073</v>
      </c>
      <c r="E7" s="18"/>
      <c r="F7" s="18" t="s">
        <v>817</v>
      </c>
      <c r="G7" s="18" t="s">
        <v>1074</v>
      </c>
      <c r="H7" s="18"/>
      <c r="I7" s="19" t="s">
        <v>5</v>
      </c>
      <c r="J7" s="19" t="s">
        <v>73</v>
      </c>
      <c r="K7" s="19" t="s">
        <v>36</v>
      </c>
      <c r="L7" s="20" t="s">
        <v>1075</v>
      </c>
      <c r="M7" s="18" t="s">
        <v>1076</v>
      </c>
      <c r="N7" s="18" t="s">
        <v>139</v>
      </c>
      <c r="O7" s="18" t="s">
        <v>1077</v>
      </c>
    </row>
    <row r="8" customFormat="false" ht="87.75" hidden="false" customHeight="true" outlineLevel="0" collapsed="false">
      <c r="A8" s="18" t="n">
        <v>128</v>
      </c>
      <c r="B8" s="18" t="s">
        <v>1078</v>
      </c>
      <c r="C8" s="18" t="s">
        <v>1079</v>
      </c>
      <c r="D8" s="18" t="s">
        <v>1080</v>
      </c>
      <c r="E8" s="18" t="s">
        <v>1081</v>
      </c>
      <c r="F8" s="18" t="s">
        <v>289</v>
      </c>
      <c r="G8" s="18" t="s">
        <v>1082</v>
      </c>
      <c r="H8" s="18" t="s">
        <v>1083</v>
      </c>
      <c r="I8" s="19" t="s">
        <v>5</v>
      </c>
      <c r="J8" s="19" t="s">
        <v>73</v>
      </c>
      <c r="K8" s="19" t="s">
        <v>36</v>
      </c>
      <c r="L8" s="19"/>
      <c r="M8" s="18" t="s">
        <v>1084</v>
      </c>
      <c r="N8" s="18" t="s">
        <v>1085</v>
      </c>
      <c r="O8" s="18" t="s">
        <v>1086</v>
      </c>
    </row>
    <row r="9" customFormat="false" ht="87.75" hidden="false" customHeight="true" outlineLevel="0" collapsed="false">
      <c r="A9" s="18" t="n">
        <v>129</v>
      </c>
      <c r="B9" s="18" t="s">
        <v>161</v>
      </c>
      <c r="C9" s="18" t="s">
        <v>162</v>
      </c>
      <c r="D9" s="18" t="s">
        <v>1087</v>
      </c>
      <c r="E9" s="18" t="s">
        <v>1088</v>
      </c>
      <c r="F9" s="18" t="s">
        <v>505</v>
      </c>
      <c r="G9" s="18" t="s">
        <v>1089</v>
      </c>
      <c r="H9" s="18" t="s">
        <v>1090</v>
      </c>
      <c r="I9" s="19" t="s">
        <v>5</v>
      </c>
      <c r="J9" s="19" t="s">
        <v>73</v>
      </c>
      <c r="K9" s="19" t="s">
        <v>36</v>
      </c>
      <c r="L9" s="19"/>
      <c r="M9" s="18" t="s">
        <v>1091</v>
      </c>
      <c r="N9" s="18" t="s">
        <v>945</v>
      </c>
      <c r="O9" s="18" t="s">
        <v>1092</v>
      </c>
    </row>
    <row r="10" customFormat="false" ht="87.75" hidden="false" customHeight="true" outlineLevel="0" collapsed="false">
      <c r="A10" s="18" t="n">
        <v>130</v>
      </c>
      <c r="B10" s="18" t="s">
        <v>1093</v>
      </c>
      <c r="C10" s="18" t="s">
        <v>92</v>
      </c>
      <c r="D10" s="18" t="s">
        <v>1094</v>
      </c>
      <c r="E10" s="18"/>
      <c r="F10" s="18" t="s">
        <v>200</v>
      </c>
      <c r="G10" s="18" t="s">
        <v>1095</v>
      </c>
      <c r="H10" s="18"/>
      <c r="I10" s="19" t="s">
        <v>5</v>
      </c>
      <c r="J10" s="19" t="s">
        <v>73</v>
      </c>
      <c r="K10" s="19" t="s">
        <v>38</v>
      </c>
      <c r="L10" s="20" t="s">
        <v>1096</v>
      </c>
      <c r="M10" s="18" t="s">
        <v>1097</v>
      </c>
      <c r="N10" s="18" t="s">
        <v>1098</v>
      </c>
      <c r="O10" s="18" t="s">
        <v>1099</v>
      </c>
    </row>
    <row r="11" customFormat="false" ht="87.75" hidden="false" customHeight="true" outlineLevel="0" collapsed="false">
      <c r="A11" s="18" t="n">
        <v>131</v>
      </c>
      <c r="B11" s="18" t="s">
        <v>1100</v>
      </c>
      <c r="C11" s="18" t="s">
        <v>1101</v>
      </c>
      <c r="D11" s="18" t="s">
        <v>1102</v>
      </c>
      <c r="E11" s="18" t="s">
        <v>1103</v>
      </c>
      <c r="F11" s="18" t="s">
        <v>359</v>
      </c>
      <c r="G11" s="18" t="s">
        <v>1104</v>
      </c>
      <c r="H11" s="18" t="s">
        <v>1105</v>
      </c>
      <c r="I11" s="19" t="s">
        <v>5</v>
      </c>
      <c r="J11" s="19" t="s">
        <v>73</v>
      </c>
      <c r="K11" s="19" t="s">
        <v>36</v>
      </c>
      <c r="L11" s="19"/>
      <c r="M11" s="18" t="s">
        <v>1106</v>
      </c>
      <c r="N11" s="18" t="s">
        <v>1107</v>
      </c>
      <c r="O11" s="18" t="s">
        <v>1108</v>
      </c>
    </row>
    <row r="12" customFormat="false" ht="87.75" hidden="false" customHeight="true" outlineLevel="0" collapsed="false">
      <c r="A12" s="18" t="n">
        <v>132</v>
      </c>
      <c r="B12" s="18" t="s">
        <v>1109</v>
      </c>
      <c r="C12" s="18" t="s">
        <v>1110</v>
      </c>
      <c r="D12" s="18" t="s">
        <v>1111</v>
      </c>
      <c r="E12" s="18" t="s">
        <v>1112</v>
      </c>
      <c r="F12" s="18" t="s">
        <v>214</v>
      </c>
      <c r="G12" s="18" t="s">
        <v>1113</v>
      </c>
      <c r="H12" s="18" t="s">
        <v>1114</v>
      </c>
      <c r="I12" s="19" t="s">
        <v>5</v>
      </c>
      <c r="J12" s="19" t="s">
        <v>73</v>
      </c>
      <c r="K12" s="19" t="s">
        <v>36</v>
      </c>
      <c r="L12" s="20" t="s">
        <v>1115</v>
      </c>
      <c r="M12" s="18" t="s">
        <v>1116</v>
      </c>
      <c r="N12" s="18" t="s">
        <v>1117</v>
      </c>
      <c r="O12" s="18" t="s">
        <v>1118</v>
      </c>
    </row>
    <row r="13" customFormat="false" ht="87.75" hidden="false" customHeight="true" outlineLevel="0" collapsed="false">
      <c r="A13" s="18" t="n">
        <v>133</v>
      </c>
      <c r="B13" s="18" t="s">
        <v>1119</v>
      </c>
      <c r="C13" s="18" t="s">
        <v>1119</v>
      </c>
      <c r="D13" s="18" t="s">
        <v>1120</v>
      </c>
      <c r="E13" s="18" t="s">
        <v>1121</v>
      </c>
      <c r="F13" s="18" t="s">
        <v>505</v>
      </c>
      <c r="G13" s="18" t="s">
        <v>1122</v>
      </c>
      <c r="H13" s="18"/>
      <c r="I13" s="19" t="s">
        <v>5</v>
      </c>
      <c r="J13" s="19" t="s">
        <v>73</v>
      </c>
      <c r="K13" s="19" t="s">
        <v>36</v>
      </c>
      <c r="L13" s="20" t="s">
        <v>1123</v>
      </c>
      <c r="M13" s="18" t="s">
        <v>1124</v>
      </c>
      <c r="N13" s="18" t="s">
        <v>1125</v>
      </c>
      <c r="O13" s="18" t="s">
        <v>1126</v>
      </c>
    </row>
    <row r="14" customFormat="false" ht="87.75" hidden="false" customHeight="true" outlineLevel="0" collapsed="false">
      <c r="A14" s="18" t="n">
        <v>134</v>
      </c>
      <c r="B14" s="18" t="s">
        <v>1127</v>
      </c>
      <c r="C14" s="18" t="s">
        <v>1127</v>
      </c>
      <c r="D14" s="18" t="s">
        <v>1128</v>
      </c>
      <c r="E14" s="18" t="s">
        <v>1129</v>
      </c>
      <c r="F14" s="18" t="s">
        <v>367</v>
      </c>
      <c r="G14" s="18" t="s">
        <v>1130</v>
      </c>
      <c r="H14" s="18"/>
      <c r="I14" s="19" t="s">
        <v>5</v>
      </c>
      <c r="J14" s="19" t="s">
        <v>73</v>
      </c>
      <c r="K14" s="19" t="s">
        <v>36</v>
      </c>
      <c r="L14" s="20" t="s">
        <v>1131</v>
      </c>
      <c r="M14" s="18" t="s">
        <v>1132</v>
      </c>
      <c r="N14" s="18" t="s">
        <v>1133</v>
      </c>
      <c r="O14" s="18" t="s">
        <v>1134</v>
      </c>
    </row>
    <row r="15" customFormat="false" ht="87.75" hidden="false" customHeight="true" outlineLevel="0" collapsed="false">
      <c r="A15" s="18" t="n">
        <v>135</v>
      </c>
      <c r="B15" s="18" t="s">
        <v>151</v>
      </c>
      <c r="C15" s="18" t="s">
        <v>151</v>
      </c>
      <c r="D15" s="18" t="s">
        <v>1135</v>
      </c>
      <c r="E15" s="18"/>
      <c r="F15" s="18" t="s">
        <v>505</v>
      </c>
      <c r="G15" s="18" t="s">
        <v>1136</v>
      </c>
      <c r="H15" s="18"/>
      <c r="I15" s="19" t="s">
        <v>5</v>
      </c>
      <c r="J15" s="19" t="s">
        <v>74</v>
      </c>
      <c r="K15" s="19" t="s">
        <v>40</v>
      </c>
      <c r="L15" s="20" t="s">
        <v>1137</v>
      </c>
      <c r="M15" s="18" t="s">
        <v>1138</v>
      </c>
      <c r="N15" s="18" t="s">
        <v>159</v>
      </c>
      <c r="O15" s="18" t="s">
        <v>1139</v>
      </c>
    </row>
    <row r="16" customFormat="false" ht="87.75" hidden="false" customHeight="true" outlineLevel="0" collapsed="false">
      <c r="A16" s="18" t="n">
        <v>136</v>
      </c>
      <c r="B16" s="18" t="s">
        <v>324</v>
      </c>
      <c r="C16" s="18" t="s">
        <v>324</v>
      </c>
      <c r="D16" s="18" t="s">
        <v>1140</v>
      </c>
      <c r="E16" s="18" t="s">
        <v>1141</v>
      </c>
      <c r="F16" s="18" t="s">
        <v>233</v>
      </c>
      <c r="G16" s="18" t="s">
        <v>1142</v>
      </c>
      <c r="H16" s="18"/>
      <c r="I16" s="19" t="s">
        <v>5</v>
      </c>
      <c r="J16" s="19" t="s">
        <v>73</v>
      </c>
      <c r="K16" s="19" t="s">
        <v>36</v>
      </c>
      <c r="L16" s="20" t="s">
        <v>1143</v>
      </c>
      <c r="M16" s="18" t="s">
        <v>1144</v>
      </c>
      <c r="N16" s="18" t="s">
        <v>330</v>
      </c>
      <c r="O16" s="18" t="s">
        <v>1145</v>
      </c>
    </row>
    <row r="17" customFormat="false" ht="87.75" hidden="false" customHeight="true" outlineLevel="0" collapsed="false">
      <c r="A17" s="18" t="n">
        <v>137</v>
      </c>
      <c r="B17" s="18" t="s">
        <v>221</v>
      </c>
      <c r="C17" s="18" t="s">
        <v>221</v>
      </c>
      <c r="D17" s="18" t="s">
        <v>1146</v>
      </c>
      <c r="E17" s="18" t="s">
        <v>1147</v>
      </c>
      <c r="F17" s="18" t="s">
        <v>1148</v>
      </c>
      <c r="G17" s="18" t="s">
        <v>1149</v>
      </c>
      <c r="H17" s="18" t="s">
        <v>1150</v>
      </c>
      <c r="I17" s="19" t="s">
        <v>5</v>
      </c>
      <c r="J17" s="19" t="s">
        <v>73</v>
      </c>
      <c r="K17" s="19" t="s">
        <v>36</v>
      </c>
      <c r="L17" s="20" t="s">
        <v>1151</v>
      </c>
      <c r="M17" s="18" t="s">
        <v>1152</v>
      </c>
      <c r="N17" s="18" t="s">
        <v>483</v>
      </c>
      <c r="O17" s="18" t="s">
        <v>1153</v>
      </c>
    </row>
    <row r="18" customFormat="false" ht="87.75" hidden="false" customHeight="true" outlineLevel="0" collapsed="false">
      <c r="A18" s="18" t="n">
        <v>138</v>
      </c>
      <c r="B18" s="18" t="s">
        <v>132</v>
      </c>
      <c r="C18" s="18" t="s">
        <v>132</v>
      </c>
      <c r="D18" s="18" t="s">
        <v>1154</v>
      </c>
      <c r="E18" s="18" t="s">
        <v>1155</v>
      </c>
      <c r="F18" s="18" t="s">
        <v>289</v>
      </c>
      <c r="G18" s="18" t="s">
        <v>1156</v>
      </c>
      <c r="H18" s="18" t="s">
        <v>1157</v>
      </c>
      <c r="I18" s="19" t="s">
        <v>9</v>
      </c>
      <c r="J18" s="19" t="s">
        <v>73</v>
      </c>
      <c r="K18" s="19" t="s">
        <v>44</v>
      </c>
      <c r="L18" s="19" t="s">
        <v>315</v>
      </c>
      <c r="M18" s="18" t="s">
        <v>1158</v>
      </c>
      <c r="N18" s="18" t="s">
        <v>139</v>
      </c>
      <c r="O18" s="18" t="s">
        <v>1159</v>
      </c>
    </row>
    <row r="19" customFormat="false" ht="87.75" hidden="false" customHeight="true" outlineLevel="0" collapsed="false">
      <c r="A19" s="18" t="n">
        <v>139</v>
      </c>
      <c r="B19" s="18" t="s">
        <v>1160</v>
      </c>
      <c r="C19" s="18" t="s">
        <v>1161</v>
      </c>
      <c r="D19" s="18" t="s">
        <v>1162</v>
      </c>
      <c r="E19" s="18" t="s">
        <v>1163</v>
      </c>
      <c r="F19" s="18" t="s">
        <v>1164</v>
      </c>
      <c r="G19" s="18" t="s">
        <v>1165</v>
      </c>
      <c r="H19" s="18" t="s">
        <v>1166</v>
      </c>
      <c r="I19" s="19" t="s">
        <v>9</v>
      </c>
      <c r="J19" s="19" t="s">
        <v>74</v>
      </c>
      <c r="K19" s="19" t="s">
        <v>50</v>
      </c>
      <c r="L19" s="20" t="s">
        <v>1167</v>
      </c>
      <c r="M19" s="18" t="s">
        <v>1168</v>
      </c>
      <c r="N19" s="18" t="s">
        <v>1169</v>
      </c>
      <c r="O19" s="18" t="s">
        <v>1170</v>
      </c>
    </row>
    <row r="20" customFormat="false" ht="87.75" hidden="false" customHeight="true" outlineLevel="0" collapsed="false">
      <c r="A20" s="18" t="n">
        <v>140</v>
      </c>
      <c r="B20" s="18" t="s">
        <v>151</v>
      </c>
      <c r="C20" s="18" t="s">
        <v>151</v>
      </c>
      <c r="D20" s="18" t="s">
        <v>1171</v>
      </c>
      <c r="E20" s="18" t="s">
        <v>1172</v>
      </c>
      <c r="F20" s="18" t="s">
        <v>106</v>
      </c>
      <c r="G20" s="18" t="s">
        <v>1173</v>
      </c>
      <c r="H20" s="18" t="s">
        <v>1174</v>
      </c>
      <c r="I20" s="19" t="s">
        <v>5</v>
      </c>
      <c r="J20" s="19" t="s">
        <v>74</v>
      </c>
      <c r="K20" s="19" t="s">
        <v>40</v>
      </c>
      <c r="L20" s="20" t="s">
        <v>1175</v>
      </c>
      <c r="M20" s="18" t="s">
        <v>1176</v>
      </c>
      <c r="N20" s="18" t="s">
        <v>159</v>
      </c>
      <c r="O20" s="18" t="s">
        <v>1177</v>
      </c>
    </row>
    <row r="21" customFormat="false" ht="87.75" hidden="false" customHeight="true" outlineLevel="0" collapsed="false">
      <c r="A21" s="18" t="n">
        <v>141</v>
      </c>
      <c r="B21" s="18" t="s">
        <v>1178</v>
      </c>
      <c r="C21" s="18" t="s">
        <v>1179</v>
      </c>
      <c r="D21" s="18" t="s">
        <v>1180</v>
      </c>
      <c r="E21" s="18"/>
      <c r="F21" s="18" t="s">
        <v>649</v>
      </c>
      <c r="G21" s="18" t="s">
        <v>1181</v>
      </c>
      <c r="H21" s="18" t="s">
        <v>1182</v>
      </c>
      <c r="I21" s="19" t="s">
        <v>5</v>
      </c>
      <c r="J21" s="19" t="s">
        <v>73</v>
      </c>
      <c r="K21" s="19" t="s">
        <v>36</v>
      </c>
      <c r="L21" s="19"/>
      <c r="M21" s="18" t="s">
        <v>1183</v>
      </c>
      <c r="N21" s="18" t="s">
        <v>1184</v>
      </c>
      <c r="O21" s="18" t="s">
        <v>1185</v>
      </c>
    </row>
    <row r="22" customFormat="false" ht="87.75" hidden="false" customHeight="true" outlineLevel="0" collapsed="false">
      <c r="A22" s="18" t="n">
        <v>142</v>
      </c>
      <c r="B22" s="18" t="s">
        <v>1186</v>
      </c>
      <c r="C22" s="18" t="s">
        <v>1187</v>
      </c>
      <c r="D22" s="18" t="s">
        <v>1188</v>
      </c>
      <c r="E22" s="18" t="s">
        <v>1189</v>
      </c>
      <c r="F22" s="18" t="s">
        <v>265</v>
      </c>
      <c r="G22" s="18" t="s">
        <v>1190</v>
      </c>
      <c r="H22" s="18" t="s">
        <v>1191</v>
      </c>
      <c r="I22" s="19" t="s">
        <v>5</v>
      </c>
      <c r="J22" s="19" t="s">
        <v>73</v>
      </c>
      <c r="K22" s="19" t="s">
        <v>36</v>
      </c>
      <c r="L22" s="19"/>
      <c r="M22" s="18" t="s">
        <v>1192</v>
      </c>
      <c r="N22" s="18" t="s">
        <v>1193</v>
      </c>
      <c r="O22" s="18" t="s">
        <v>1194</v>
      </c>
    </row>
    <row r="23" customFormat="false" ht="87.75" hidden="false" customHeight="true" outlineLevel="0" collapsed="false">
      <c r="A23" s="18" t="n">
        <v>143</v>
      </c>
      <c r="B23" s="18" t="s">
        <v>1195</v>
      </c>
      <c r="C23" s="18" t="s">
        <v>1196</v>
      </c>
      <c r="D23" s="18" t="s">
        <v>1197</v>
      </c>
      <c r="E23" s="18" t="s">
        <v>1198</v>
      </c>
      <c r="F23" s="18" t="s">
        <v>336</v>
      </c>
      <c r="G23" s="18" t="s">
        <v>1199</v>
      </c>
      <c r="H23" s="18"/>
      <c r="I23" s="19" t="s">
        <v>5</v>
      </c>
      <c r="J23" s="19" t="s">
        <v>73</v>
      </c>
      <c r="K23" s="19" t="s">
        <v>36</v>
      </c>
      <c r="L23" s="19"/>
      <c r="M23" s="18" t="s">
        <v>1200</v>
      </c>
      <c r="N23" s="18" t="s">
        <v>1201</v>
      </c>
      <c r="O23" s="18" t="s">
        <v>1202</v>
      </c>
    </row>
    <row r="24" customFormat="false" ht="87.75" hidden="false" customHeight="true" outlineLevel="0" collapsed="false">
      <c r="A24" s="18" t="n">
        <v>144</v>
      </c>
      <c r="B24" s="18" t="s">
        <v>503</v>
      </c>
      <c r="C24" s="18" t="s">
        <v>103</v>
      </c>
      <c r="D24" s="18" t="s">
        <v>1203</v>
      </c>
      <c r="E24" s="18" t="s">
        <v>1204</v>
      </c>
      <c r="F24" s="18" t="s">
        <v>336</v>
      </c>
      <c r="G24" s="18" t="s">
        <v>1205</v>
      </c>
      <c r="H24" s="18" t="s">
        <v>1206</v>
      </c>
      <c r="I24" s="19" t="s">
        <v>5</v>
      </c>
      <c r="J24" s="19" t="s">
        <v>73</v>
      </c>
      <c r="K24" s="19" t="s">
        <v>36</v>
      </c>
      <c r="L24" s="20" t="s">
        <v>1207</v>
      </c>
      <c r="M24" s="18" t="s">
        <v>1208</v>
      </c>
      <c r="N24" s="18" t="s">
        <v>509</v>
      </c>
      <c r="O24" s="18" t="s">
        <v>1209</v>
      </c>
    </row>
    <row r="25" customFormat="false" ht="87.75" hidden="false" customHeight="true" outlineLevel="0" collapsed="false">
      <c r="A25" s="18" t="n">
        <v>145</v>
      </c>
      <c r="B25" s="18" t="s">
        <v>1210</v>
      </c>
      <c r="C25" s="18" t="s">
        <v>965</v>
      </c>
      <c r="D25" s="18" t="s">
        <v>1211</v>
      </c>
      <c r="E25" s="18" t="s">
        <v>1212</v>
      </c>
      <c r="F25" s="18" t="s">
        <v>909</v>
      </c>
      <c r="G25" s="18" t="s">
        <v>1213</v>
      </c>
      <c r="H25" s="18"/>
      <c r="I25" s="19" t="s">
        <v>5</v>
      </c>
      <c r="J25" s="19" t="s">
        <v>73</v>
      </c>
      <c r="K25" s="19" t="s">
        <v>36</v>
      </c>
      <c r="L25" s="19"/>
      <c r="M25" s="18" t="s">
        <v>1214</v>
      </c>
      <c r="N25" s="18" t="s">
        <v>1215</v>
      </c>
      <c r="O25" s="18" t="s">
        <v>1216</v>
      </c>
    </row>
    <row r="26" customFormat="false" ht="87.75" hidden="false" customHeight="true" outlineLevel="0" collapsed="false">
      <c r="A26" s="18" t="n">
        <v>146</v>
      </c>
      <c r="B26" s="18" t="s">
        <v>204</v>
      </c>
      <c r="C26" s="18" t="s">
        <v>205</v>
      </c>
      <c r="D26" s="18" t="s">
        <v>1217</v>
      </c>
      <c r="E26" s="18" t="s">
        <v>1218</v>
      </c>
      <c r="F26" s="18" t="s">
        <v>858</v>
      </c>
      <c r="G26" s="18" t="s">
        <v>869</v>
      </c>
      <c r="H26" s="18" t="s">
        <v>1219</v>
      </c>
      <c r="I26" s="19" t="s">
        <v>5</v>
      </c>
      <c r="J26" s="19" t="s">
        <v>73</v>
      </c>
      <c r="K26" s="19" t="s">
        <v>40</v>
      </c>
      <c r="L26" s="20" t="s">
        <v>1220</v>
      </c>
      <c r="M26" s="18" t="s">
        <v>1221</v>
      </c>
      <c r="N26" s="18" t="s">
        <v>210</v>
      </c>
      <c r="O26" s="18" t="s">
        <v>1222</v>
      </c>
    </row>
    <row r="27" customFormat="false" ht="87.75" hidden="false" customHeight="true" outlineLevel="0" collapsed="false">
      <c r="A27" s="18" t="n">
        <v>147</v>
      </c>
      <c r="B27" s="18" t="s">
        <v>189</v>
      </c>
      <c r="C27" s="18" t="s">
        <v>190</v>
      </c>
      <c r="D27" s="18" t="s">
        <v>1223</v>
      </c>
      <c r="E27" s="18" t="s">
        <v>1224</v>
      </c>
      <c r="F27" s="18" t="s">
        <v>1225</v>
      </c>
      <c r="G27" s="18" t="s">
        <v>1226</v>
      </c>
      <c r="H27" s="18"/>
      <c r="I27" s="19" t="s">
        <v>5</v>
      </c>
      <c r="J27" s="19" t="s">
        <v>73</v>
      </c>
      <c r="K27" s="19" t="s">
        <v>36</v>
      </c>
      <c r="L27" s="19"/>
      <c r="M27" s="18" t="s">
        <v>1227</v>
      </c>
      <c r="N27" s="18" t="s">
        <v>353</v>
      </c>
      <c r="O27" s="18" t="s">
        <v>1228</v>
      </c>
    </row>
    <row r="28" customFormat="false" ht="87.75" hidden="false" customHeight="true" outlineLevel="0" collapsed="false">
      <c r="A28" s="18" t="n">
        <v>148</v>
      </c>
      <c r="B28" s="18" t="s">
        <v>887</v>
      </c>
      <c r="C28" s="18" t="s">
        <v>888</v>
      </c>
      <c r="D28" s="18" t="s">
        <v>1229</v>
      </c>
      <c r="E28" s="18" t="s">
        <v>1230</v>
      </c>
      <c r="F28" s="18" t="s">
        <v>289</v>
      </c>
      <c r="G28" s="18" t="s">
        <v>290</v>
      </c>
      <c r="H28" s="18"/>
      <c r="I28" s="19" t="s">
        <v>5</v>
      </c>
      <c r="J28" s="19" t="s">
        <v>73</v>
      </c>
      <c r="K28" s="19" t="s">
        <v>36</v>
      </c>
      <c r="L28" s="19"/>
      <c r="M28" s="18" t="s">
        <v>1231</v>
      </c>
      <c r="N28" s="18" t="s">
        <v>893</v>
      </c>
      <c r="O28" s="18" t="s">
        <v>1232</v>
      </c>
    </row>
    <row r="29" customFormat="false" ht="87.75" hidden="false" customHeight="true" outlineLevel="0" collapsed="false">
      <c r="A29" s="18" t="n">
        <v>149</v>
      </c>
      <c r="B29" s="18" t="s">
        <v>132</v>
      </c>
      <c r="C29" s="18" t="s">
        <v>132</v>
      </c>
      <c r="D29" s="18" t="s">
        <v>1233</v>
      </c>
      <c r="E29" s="18" t="s">
        <v>1234</v>
      </c>
      <c r="F29" s="18" t="s">
        <v>1235</v>
      </c>
      <c r="G29" s="18" t="s">
        <v>1236</v>
      </c>
      <c r="H29" s="18" t="s">
        <v>1237</v>
      </c>
      <c r="I29" s="19" t="s">
        <v>9</v>
      </c>
      <c r="J29" s="19" t="s">
        <v>73</v>
      </c>
      <c r="K29" s="19" t="s">
        <v>44</v>
      </c>
      <c r="L29" s="19" t="s">
        <v>1238</v>
      </c>
      <c r="M29" s="18" t="s">
        <v>1239</v>
      </c>
      <c r="N29" s="18" t="s">
        <v>139</v>
      </c>
      <c r="O29" s="18" t="s">
        <v>1240</v>
      </c>
    </row>
    <row r="30" customFormat="false" ht="87.75" hidden="false" customHeight="true" outlineLevel="0" collapsed="false">
      <c r="A30" s="18" t="n">
        <v>150</v>
      </c>
      <c r="B30" s="18" t="s">
        <v>1241</v>
      </c>
      <c r="C30" s="18" t="s">
        <v>1242</v>
      </c>
      <c r="D30" s="18" t="s">
        <v>1243</v>
      </c>
      <c r="E30" s="18" t="s">
        <v>1244</v>
      </c>
      <c r="F30" s="18" t="s">
        <v>336</v>
      </c>
      <c r="G30" s="18" t="s">
        <v>1245</v>
      </c>
      <c r="H30" s="18" t="s">
        <v>1246</v>
      </c>
      <c r="I30" s="19" t="s">
        <v>5</v>
      </c>
      <c r="J30" s="19" t="s">
        <v>73</v>
      </c>
      <c r="K30" s="19" t="s">
        <v>40</v>
      </c>
      <c r="L30" s="20" t="s">
        <v>1247</v>
      </c>
      <c r="M30" s="18" t="s">
        <v>1248</v>
      </c>
      <c r="N30" s="18" t="s">
        <v>1249</v>
      </c>
      <c r="O30" s="18" t="s">
        <v>1250</v>
      </c>
    </row>
  </sheetData>
  <mergeCells count="2">
    <mergeCell ref="A1:O1"/>
    <mergeCell ref="A2:O2"/>
  </mergeCells>
  <conditionalFormatting sqref="I6:I30">
    <cfRule type="expression" priority="2" aboveAverage="0" equalAverage="0" bottom="0" percent="0" rank="0" text="" dxfId="0">
      <formula>I6="VALID_TARGET_REFERENCE"</formula>
    </cfRule>
    <cfRule type="expression" priority="3" aboveAverage="0" equalAverage="0" bottom="0" percent="0" rank="0" text="" dxfId="1">
      <formula>I6="INVALID_TARGET_REFERENCE"</formula>
    </cfRule>
    <cfRule type="expression" priority="4" aboveAverage="0" equalAverage="0" bottom="0" percent="0" rank="0" text="" dxfId="2">
      <formula>I6="UNCERTAIN"</formula>
    </cfRule>
  </conditionalFormatting>
  <dataValidations count="3">
    <dataValidation allowBlank="false" errorStyle="stop" operator="between" showDropDown="false" showErrorMessage="false" showInputMessage="false" sqref="I6:I30" type="list">
      <formula1>Lists!$A$2:$A$4</formula1>
      <formula2>0</formula2>
    </dataValidation>
    <dataValidation allowBlank="false" errorStyle="stop" operator="between" showDropDown="false" showErrorMessage="false" showInputMessage="false" sqref="J6:J30" type="list">
      <formula1>Lists!$B$2:$B$4</formula1>
      <formula2>0</formula2>
    </dataValidation>
    <dataValidation allowBlank="false" errorStyle="stop" operator="between" showDropDown="false" showErrorMessage="false" showInputMessage="false" sqref="K6:K30" type="list">
      <formula1>Lists!$C$2:$C$14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2026-10-11T08:12:14Z</dcterms:created>
  <dc:creator>openpyxl</dc:creator>
  <dc:description/>
  <dc:language>en-US</dc:language>
  <cp:lastModifiedBy/>
  <dcterms:modified xsi:type="dcterms:W3CDTF">2026-10-11T08:12:14Z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