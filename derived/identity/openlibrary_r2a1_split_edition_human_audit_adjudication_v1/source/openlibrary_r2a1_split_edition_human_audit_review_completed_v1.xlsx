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eview" sheetId="2" state="visible" r:id="rId4"/>
    <sheet name="Components" sheetId="3" state="visible" r:id="rId5"/>
    <sheet name="ValidationLists" sheetId="4" state="visible" r:id="rId6"/>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<sst xmlns="http://schemas.openxmlformats.org/spreadsheetml/2006/main" count="2982" uniqueCount="1024">
  <si>
    <t xml:space="preserve">Open Library R2+A1 split-edition human audit v1</t>
  </si>
  <si>
    <t xml:space="preserve">Field</t>
  </si>
  <si>
    <t xml:space="preserve">Value</t>
  </si>
  <si>
    <t xml:space="preserve">Review packet freeze commit</t>
  </si>
  <si>
    <t xml:space="preserve">32d95c3de27eabee635cb54e930f7c791a6822b3</t>
  </si>
  <si>
    <t xml:space="preserve">Frozen raw LLM routing commit</t>
  </si>
  <si>
    <t xml:space="preserve">9d4a2d0ce50cc5335e06672732aa060d3a3be124</t>
  </si>
  <si>
    <t xml:space="preserve">Review cases</t>
  </si>
  <si>
    <t xml:space="preserve">Project works</t>
  </si>
  <si>
    <t xml:space="preserve">Fixed components</t>
  </si>
  <si>
    <t xml:space="preserve">LLM row-level answers shown?</t>
  </si>
  <si>
    <t xml:space="preserve">No — intentionally withheld</t>
  </si>
  <si>
    <t xml:space="preserve">How to review</t>
  </si>
  <si>
    <t xml:space="preserve">1</t>
  </si>
  <si>
    <t xml:space="preserve">Review only the bibliographic evidence shown in the Review sheet and the fixed component definitions in Components.</t>
  </si>
  <si>
    <t xml:space="preserve">2</t>
  </si>
  <si>
    <t xml:space="preserve">Fill the yellow columns: human_routing_decision, human_component_id, human_confidence, human_note.</t>
  </si>
  <si>
    <t xml:space="preserve">3</t>
  </si>
  <si>
    <t xml:space="preserve">ASSIGN_COMPONENT: choose exactly one component belonging to the same project_work_id.</t>
  </si>
  <si>
    <t xml:space="preserve">4</t>
  </si>
  <si>
    <t xml:space="preserve">HOLD_UNRESOLVED: leave human_component_id blank when the available evidence is insufficient.</t>
  </si>
  <si>
    <t xml:space="preserve">5</t>
  </si>
  <si>
    <t xml:space="preserve">REGISTRY_ISSUE: use when the fixed component ontology itself is inadequate; leave component blank and explain in human_note.</t>
  </si>
  <si>
    <t xml:space="preserve">6</t>
  </si>
  <si>
    <t xml:space="preserve">DETACH means detach from the erroneous predecessor grouping; it is not a corpus-scope exclusion.</t>
  </si>
  <si>
    <t xml:space="preserve">7</t>
  </si>
  <si>
    <t xml:space="preserve">EXCLUDE_APPARATUS applies only to components already defined as catalogue/study/apparatus by the frozen human plan.</t>
  </si>
  <si>
    <t xml:space="preserve">8</t>
  </si>
  <si>
    <t xml:space="preserve">Do not decompose an omnibus or anthology into constituent literary works. Route the edition as a publication-level unit.</t>
  </si>
  <si>
    <t xml:space="preserve">9</t>
  </si>
  <si>
    <t xml:space="preserve">This 118-row packet combines targeted review and a deterministic validation sample; do not treat it as a simple random sample of all 508 editions.</t>
  </si>
  <si>
    <t xml:space="preserve">Selection composition</t>
  </si>
  <si>
    <t xml:space="preserve">Selection stage</t>
  </si>
  <si>
    <t xml:space="preserve">New rows</t>
  </si>
  <si>
    <t xml:space="preserve">All LOW/MEDIUM frozen LLM confidence</t>
  </si>
  <si>
    <t xml:space="preserve">All DETACH / EXCLUDE_APPARATUS assignments</t>
  </si>
  <si>
    <t xml:space="preserve">HIGH primary-successor sample</t>
  </si>
  <si>
    <t xml:space="preserve">HIGH assignment sample</t>
  </si>
  <si>
    <t xml:space="preserve">HIGH HOLD sample</t>
  </si>
  <si>
    <t xml:space="preserve">Total</t>
  </si>
  <si>
    <t xml:space="preserve">audit_case_id</t>
  </si>
  <si>
    <t xml:space="preserve">priority_rank</t>
  </si>
  <si>
    <t xml:space="preserve">project_work_id</t>
  </si>
  <si>
    <t xml:space="preserve">target_title</t>
  </si>
  <si>
    <t xml:space="preserve">target_author</t>
  </si>
  <si>
    <t xml:space="preserve">current_ol_work_id</t>
  </si>
  <si>
    <t xml:space="preserve">edition_key</t>
  </si>
  <si>
    <t xml:space="preserve">edition_title</t>
  </si>
  <si>
    <t xml:space="preserve">edition_subtitle</t>
  </si>
  <si>
    <t xml:space="preserve">publish_date</t>
  </si>
  <si>
    <t xml:space="preserve">publishers</t>
  </si>
  <si>
    <t xml:space="preserve">edition_author_keys</t>
  </si>
  <si>
    <t xml:space="preserve">pages</t>
  </si>
  <si>
    <t xml:space="preserve">human_resolution_confidence</t>
  </si>
  <si>
    <t xml:space="preserve">human_routing_decision</t>
  </si>
  <si>
    <t xml:space="preserve">human_component_id</t>
  </si>
  <si>
    <t xml:space="preserve">human_confidence</t>
  </si>
  <si>
    <t xml:space="preserve">human_note</t>
  </si>
  <si>
    <t xml:space="preserve">selected_component_label</t>
  </si>
  <si>
    <t xml:space="preserve">selected_role_hint</t>
  </si>
  <si>
    <t xml:space="preserve">row_qc</t>
  </si>
  <si>
    <t xml:space="preserve">SERH0001</t>
  </si>
  <si>
    <t xml:space="preserve">W000014024</t>
  </si>
  <si>
    <t xml:space="preserve">Henry James</t>
  </si>
  <si>
    <t xml:space="preserve">OL276471W</t>
  </si>
  <si>
    <t xml:space="preserve">OL19324269M</t>
  </si>
  <si>
    <t xml:space="preserve">representative selections</t>
  </si>
  <si>
    <t xml:space="preserve">1966</t>
  </si>
  <si>
    <t xml:space="preserve">University of Illinois Press</t>
  </si>
  <si>
    <t xml:space="preserve">/authors/OL21001A</t>
  </si>
  <si>
    <t xml:space="preserve">HIGH</t>
  </si>
  <si>
    <t xml:space="preserve">ASSIGN_COMPONENT</t>
  </si>
  <si>
    <t xml:space="preserve">W000014024_C08</t>
  </si>
  <si>
    <t xml:space="preserve">MEDIUM</t>
  </si>
  <si>
    <t xml:space="preserve">Subtitle 'representative selections' matches C08; 1966 University of Illinois Press issue is plausibly a reprint of the 1941 selection but equivalence is not shown.</t>
  </si>
  <si>
    <t xml:space="preserve">SERH0002</t>
  </si>
  <si>
    <t xml:space="preserve">OL1090575M</t>
  </si>
  <si>
    <t xml:space="preserve">selected works.</t>
  </si>
  <si>
    <t xml:space="preserve">1994</t>
  </si>
  <si>
    <t xml:space="preserve">Gramercy Books || Distributed by Random House Value Pub. || Gramercy</t>
  </si>
  <si>
    <t xml:space="preserve">655</t>
  </si>
  <si>
    <t xml:space="preserve">HOLD_UNRESOLVED</t>
  </si>
  <si>
    <t xml:space="preserve">'selected works.' (Gramercy 1994, 655 pp) has no contents listed. Likely a fiction omnibus (C05) but could be a mixed selection; no component for generic selected works.</t>
  </si>
  <si>
    <t xml:space="preserve">SERH0003</t>
  </si>
  <si>
    <t xml:space="preserve">OL7770273M</t>
  </si>
  <si>
    <t xml:space="preserve">Selected Fiction</t>
  </si>
  <si>
    <t xml:space="preserve">April 21, 1964</t>
  </si>
  <si>
    <t xml:space="preserve">Dutton</t>
  </si>
  <si>
    <t xml:space="preserve">609</t>
  </si>
  <si>
    <t xml:space="preserve">W000014024_C05</t>
  </si>
  <si>
    <t xml:space="preserve">'Selected Fiction' (Dutton 1964, 609 pp) fits the selected-fiction omnibus component by label; constituent works not listed.</t>
  </si>
  <si>
    <t xml:space="preserve">SERH0004</t>
  </si>
  <si>
    <t xml:space="preserve">OL7692691M</t>
  </si>
  <si>
    <t xml:space="preserve">Selected Letters</t>
  </si>
  <si>
    <t xml:space="preserve">February 1, 1990</t>
  </si>
  <si>
    <t xml:space="preserve">Belknap Press</t>
  </si>
  <si>
    <t xml:space="preserve">490</t>
  </si>
  <si>
    <t xml:space="preserve">REGISTRY_ISSUE</t>
  </si>
  <si>
    <t xml:space="preserve">'Selected Letters' (Belknap 1990) is a letters selection distinct from both C02 (Benson/Monod) and C03 (A Life in Letters). Ontology lacks a general selected-letters component.</t>
  </si>
  <si>
    <t xml:space="preserve">SERH0005</t>
  </si>
  <si>
    <t xml:space="preserve">OL9800227M</t>
  </si>
  <si>
    <t xml:space="preserve">June 19, 2000</t>
  </si>
  <si>
    <t xml:space="preserve">Penguin Books</t>
  </si>
  <si>
    <t xml:space="preserve">704</t>
  </si>
  <si>
    <t xml:space="preserve">No subtitle. Penguin 2000, 704 pp; the frozen record lists 'A Life in Letters (Penguin Classics)' with a June 19, 2000 date, so C03 is likely, but this row itself shows no content evidence.</t>
  </si>
  <si>
    <t xml:space="preserve">SERH0006</t>
  </si>
  <si>
    <t xml:space="preserve">W000031472</t>
  </si>
  <si>
    <t xml:space="preserve">Galen</t>
  </si>
  <si>
    <t xml:space="preserve">OL988425W</t>
  </si>
  <si>
    <t xml:space="preserve">OL24290200M</t>
  </si>
  <si>
    <t xml:space="preserve">2003</t>
  </si>
  <si>
    <t xml:space="preserve">Cambridge University Press</t>
  </si>
  <si>
    <t xml:space="preserve">No subtitle, no author key; CUP 2003 could be any of the three Cambridge treatise editions.</t>
  </si>
  <si>
    <t xml:space="preserve">SERH0007</t>
  </si>
  <si>
    <t xml:space="preserve">OL7748277M</t>
  </si>
  <si>
    <t xml:space="preserve">On Antecedent Causes (Cambridge Classical Texts and Commentaries)</t>
  </si>
  <si>
    <t xml:space="preserve">June 10, 2004</t>
  </si>
  <si>
    <t xml:space="preserve">/authors/OL91410A</t>
  </si>
  <si>
    <t xml:space="preserve">365</t>
  </si>
  <si>
    <t xml:space="preserve">W000031472_C03</t>
  </si>
  <si>
    <t xml:space="preserve">Subtitle names On Antecedent Causes.</t>
  </si>
  <si>
    <t xml:space="preserve">SERH0008</t>
  </si>
  <si>
    <t xml:space="preserve">W000030498</t>
  </si>
  <si>
    <t xml:space="preserve">D.H. Lawrence</t>
  </si>
  <si>
    <t xml:space="preserve">D. H. Lawrence</t>
  </si>
  <si>
    <t xml:space="preserve">OL7965965W</t>
  </si>
  <si>
    <t xml:space="preserve">OL19834864M</t>
  </si>
  <si>
    <t xml:space="preserve">D.H. Lawrence.</t>
  </si>
  <si>
    <t xml:space="preserve">1928</t>
  </si>
  <si>
    <t xml:space="preserve">E. Benn</t>
  </si>
  <si>
    <t xml:space="preserve">/authors/OL19964A</t>
  </si>
  <si>
    <t xml:space="preserve">31</t>
  </si>
  <si>
    <t xml:space="preserve">W000030498_C01</t>
  </si>
  <si>
    <t xml:space="preserve">No subtitle, but a 31-page E. Benn 1928 pamphlet corresponds to the 1928 'selected poems' line in the frozen record (same pattern as the Benn 1921 Emerson pamphlet). Short poetry selection; title-only evidence.</t>
  </si>
  <si>
    <t xml:space="preserve">SERH0009</t>
  </si>
  <si>
    <t xml:space="preserve">OL20573625M</t>
  </si>
  <si>
    <t xml:space="preserve">SERH0010</t>
  </si>
  <si>
    <t xml:space="preserve">OL19844723M</t>
  </si>
  <si>
    <t xml:space="preserve">poems</t>
  </si>
  <si>
    <t xml:space="preserve">1968</t>
  </si>
  <si>
    <t xml:space="preserve">Macmillan</t>
  </si>
  <si>
    <t xml:space="preserve">120</t>
  </si>
  <si>
    <t xml:space="preserve">Subtitle 'poems' (Macmillan 1968, 120 pp): a selected-poetry edition.</t>
  </si>
  <si>
    <t xml:space="preserve">SERH0011</t>
  </si>
  <si>
    <t xml:space="preserve">OL4717145M</t>
  </si>
  <si>
    <t xml:space="preserve">[poems].</t>
  </si>
  <si>
    <t xml:space="preserve">1977</t>
  </si>
  <si>
    <t xml:space="preserve">Norwood Editions</t>
  </si>
  <si>
    <t xml:space="preserve">30</t>
  </si>
  <si>
    <t xml:space="preserve">Subtitle '[poems]' (Norwood 1977, 30 pp): reprint-size poetry selection.</t>
  </si>
  <si>
    <t xml:space="preserve">SERH0012</t>
  </si>
  <si>
    <t xml:space="preserve">OL1856256M</t>
  </si>
  <si>
    <t xml:space="preserve">selected poetry and non-fictional prose</t>
  </si>
  <si>
    <t xml:space="preserve">1991</t>
  </si>
  <si>
    <t xml:space="preserve">Routledge</t>
  </si>
  <si>
    <t xml:space="preserve">258</t>
  </si>
  <si>
    <t xml:space="preserve">'selected poetry and non-fictional prose' (Routledge 1991) mixes C01 (poetry) and C04 (criticism/prose); no mixed-selection component exists for Lawrence.</t>
  </si>
  <si>
    <t xml:space="preserve">SERH0013</t>
  </si>
  <si>
    <t xml:space="preserve">OL15542824M</t>
  </si>
  <si>
    <t xml:space="preserve">an exceptional collection of first editions, autograph material, manuscripts, original paintings, photographs, and association items</t>
  </si>
  <si>
    <t xml:space="preserve">2002</t>
  </si>
  <si>
    <t xml:space="preserve">Simon Finch Rare Books Limited</t>
  </si>
  <si>
    <t xml:space="preserve">175</t>
  </si>
  <si>
    <t xml:space="preserve">W000030498_C06</t>
  </si>
  <si>
    <t xml:space="preserve">Simon Finch Rare Books 2002 dealer's catalogue of first editions, manuscripts, paintings, etc.: analogous to the C06 catalogue component (EXCLUDE_APPARATUS).</t>
  </si>
  <si>
    <t xml:space="preserve">SERH0014</t>
  </si>
  <si>
    <t xml:space="preserve">OL9208520M</t>
  </si>
  <si>
    <t xml:space="preserve">D H Lawrence</t>
  </si>
  <si>
    <t xml:space="preserve">Sons and Lovers, the Fox, Love Among the Haystacks, Aaron's Rod, the Ladybird, Women in Love</t>
  </si>
  <si>
    <t xml:space="preserve">December 1989</t>
  </si>
  <si>
    <t xml:space="preserve">Book Sales</t>
  </si>
  <si>
    <t xml:space="preserve">W000030498_C02</t>
  </si>
  <si>
    <t xml:space="preserve">Subtitle lists the six-work omnibus named in C02; route as one unit.</t>
  </si>
  <si>
    <t xml:space="preserve">SERH0015</t>
  </si>
  <si>
    <t xml:space="preserve">W000023649</t>
  </si>
  <si>
    <t xml:space="preserve">Ralph Waldo Emerson</t>
  </si>
  <si>
    <t xml:space="preserve">OL62231W</t>
  </si>
  <si>
    <t xml:space="preserve">OL15582404M</t>
  </si>
  <si>
    <t xml:space="preserve">passages from his writings</t>
  </si>
  <si>
    <t xml:space="preserve">Unity Office</t>
  </si>
  <si>
    <t xml:space="preserve">/authors/OL18405A</t>
  </si>
  <si>
    <t xml:space="preserve">W000023649_C01</t>
  </si>
  <si>
    <t xml:space="preserve">Subtitle 'passages from his writings' (Unity Office, 30 pp, undated) matches C01's wording, though the life sketch / reading guide is not mentioned.</t>
  </si>
  <si>
    <t xml:space="preserve">SERH0016</t>
  </si>
  <si>
    <t xml:space="preserve">OL7106368M</t>
  </si>
  <si>
    <t xml:space="preserve">Ralph Waldo Emerson.</t>
  </si>
  <si>
    <t xml:space="preserve">1921</t>
  </si>
  <si>
    <t xml:space="preserve">Benn</t>
  </si>
  <si>
    <t xml:space="preserve">No subtitle; Benn 1921, 31 pp. A short pamphlet selection (likely poems) that fits none of the Emerson components clearly (C05 mixed prose/poetry is the nearest).</t>
  </si>
  <si>
    <t xml:space="preserve">SERH0017</t>
  </si>
  <si>
    <t xml:space="preserve">OL23265825M</t>
  </si>
  <si>
    <t xml:space="preserve">essays and journals.</t>
  </si>
  <si>
    <t xml:space="preserve">Doubleday</t>
  </si>
  <si>
    <t xml:space="preserve">671</t>
  </si>
  <si>
    <t xml:space="preserve">W000023649_C04</t>
  </si>
  <si>
    <t xml:space="preserve">Subtitle 'essays and journals.' (Doubleday 1968).</t>
  </si>
  <si>
    <t xml:space="preserve">SERH0018</t>
  </si>
  <si>
    <t xml:space="preserve">W000003023</t>
  </si>
  <si>
    <t xml:space="preserve">Arnold</t>
  </si>
  <si>
    <t xml:space="preserve">Matthew Arnold</t>
  </si>
  <si>
    <t xml:space="preserve">OL1336767W</t>
  </si>
  <si>
    <t xml:space="preserve">OL19362026M</t>
  </si>
  <si>
    <t xml:space="preserve">poetry and prose</t>
  </si>
  <si>
    <t xml:space="preserve">1946</t>
  </si>
  <si>
    <t xml:space="preserve">(s.n.)</t>
  </si>
  <si>
    <t xml:space="preserve">/authors/OL136194A</t>
  </si>
  <si>
    <t xml:space="preserve">W000003023_C01</t>
  </si>
  <si>
    <t xml:space="preserve">'poetry and prose', 1946: the 1939/1946 selection defined as C01.</t>
  </si>
  <si>
    <t xml:space="preserve">SERH0019</t>
  </si>
  <si>
    <t xml:space="preserve">OL22304281M</t>
  </si>
  <si>
    <t xml:space="preserve">1985</t>
  </si>
  <si>
    <t xml:space="preserve">Penguin</t>
  </si>
  <si>
    <t xml:space="preserve">267</t>
  </si>
  <si>
    <t xml:space="preserve">'poems' (Penguin 1985, 267 pp) is a poetry selection outside the Everyman's lineage that C02 is restricted to. Suggest widening C02 to 'Poems selections' or adding a Penguin poems component.</t>
  </si>
  <si>
    <t xml:space="preserve">SERH0020</t>
  </si>
  <si>
    <t xml:space="preserve">W000005351</t>
  </si>
  <si>
    <t xml:space="preserve">Chaucer</t>
  </si>
  <si>
    <t xml:space="preserve">Geoffrey Chaucer</t>
  </si>
  <si>
    <t xml:space="preserve">OL15378100W</t>
  </si>
  <si>
    <t xml:space="preserve">OL13663209M</t>
  </si>
  <si>
    <t xml:space="preserve">1963</t>
  </si>
  <si>
    <t xml:space="preserve">Dell</t>
  </si>
  <si>
    <t xml:space="preserve">/authors/OL37436A</t>
  </si>
  <si>
    <t xml:space="preserve">No subtitle; Dell 1963 paperback. Contents (Canterbury Tales selection vs other) not shown.</t>
  </si>
  <si>
    <t xml:space="preserve">SERH0021</t>
  </si>
  <si>
    <t xml:space="preserve">OL5890008M</t>
  </si>
  <si>
    <t xml:space="preserve">Chaucer.</t>
  </si>
  <si>
    <t xml:space="preserve">Dell Pub. Co.</t>
  </si>
  <si>
    <t xml:space="preserve">352</t>
  </si>
  <si>
    <t xml:space="preserve">SERH0022</t>
  </si>
  <si>
    <t xml:space="preserve">OL21162256M</t>
  </si>
  <si>
    <t xml:space="preserve">sources and backgrounds</t>
  </si>
  <si>
    <t xml:space="preserve">Oxford UniversityPress</t>
  </si>
  <si>
    <t xml:space="preserve">507</t>
  </si>
  <si>
    <t xml:space="preserve">W000005351_C04</t>
  </si>
  <si>
    <t xml:space="preserve">'sources and backgrounds': study apparatus.</t>
  </si>
  <si>
    <t xml:space="preserve">SERH0023</t>
  </si>
  <si>
    <t xml:space="preserve">OL11928746M</t>
  </si>
  <si>
    <t xml:space="preserve">The Prioresses Tale, Sir Thopas, The Monkes Tale, The Clerkes Tale, The Squieres Tale From The Canterbury Tales</t>
  </si>
  <si>
    <t xml:space="preserve">January 17, 2007</t>
  </si>
  <si>
    <t xml:space="preserve">Kessinger Publishing, LLC</t>
  </si>
  <si>
    <t xml:space="preserve">540</t>
  </si>
  <si>
    <t xml:space="preserve">W000005351_C01</t>
  </si>
  <si>
    <t xml:space="preserve">Subtitle lists Prioress / Sir Thopas / Monk / Clerk / Squire tales from the Canterbury Tales.</t>
  </si>
  <si>
    <t xml:space="preserve">SERH0024</t>
  </si>
  <si>
    <t xml:space="preserve">OL11067624M</t>
  </si>
  <si>
    <t xml:space="preserve">January 24, 1948</t>
  </si>
  <si>
    <t xml:space="preserve">Viking Adult</t>
  </si>
  <si>
    <t xml:space="preserve">No subtitle; Viking 1948. Could be a broad portable selection; contents not shown.</t>
  </si>
  <si>
    <t xml:space="preserve">SERH0025</t>
  </si>
  <si>
    <t xml:space="preserve">OL7741850M</t>
  </si>
  <si>
    <t xml:space="preserve">The Wife of Bath's Prologue on CD-ROM (The Canterbury Tales on CD-ROM)</t>
  </si>
  <si>
    <t xml:space="preserve">June 13, 1996</t>
  </si>
  <si>
    <t xml:space="preserve">80</t>
  </si>
  <si>
    <t xml:space="preserve">'The Wife of Bath's Prologue on CD-ROM': electronic scholarly edition packaged with its 80-page manual (SERH0026). Routed with the CD-ROM apparatus component; could alternatively be read as a C01 text selection.</t>
  </si>
  <si>
    <t xml:space="preserve">SERH0026</t>
  </si>
  <si>
    <t xml:space="preserve">OL7746561M</t>
  </si>
  <si>
    <t xml:space="preserve">The Wife of Bath's Prologue CD-ROM Manual (The Canterbury Tales on CD-ROM)</t>
  </si>
  <si>
    <t xml:space="preserve">June 27, 1996</t>
  </si>
  <si>
    <t xml:space="preserve">CD-ROM manual: apparatus by definition.</t>
  </si>
  <si>
    <t xml:space="preserve">SERH0027</t>
  </si>
  <si>
    <t xml:space="preserve">W000013400</t>
  </si>
  <si>
    <t xml:space="preserve">Hans Christian Andersen</t>
  </si>
  <si>
    <t xml:space="preserve">OL25506W</t>
  </si>
  <si>
    <t xml:space="preserve">OL13069955M</t>
  </si>
  <si>
    <t xml:space="preserve">January 1, 1996</t>
  </si>
  <si>
    <t xml:space="preserve">Panamericana Editorial</t>
  </si>
  <si>
    <t xml:space="preserve">/authors/OL25931A</t>
  </si>
  <si>
    <t xml:space="preserve">176</t>
  </si>
  <si>
    <t xml:space="preserve">No subtitle; Panamericana Editorial 1996, 176 pp (Spanish-language publisher). Probably a tale selection but not evidenced.</t>
  </si>
  <si>
    <t xml:space="preserve">SERH0028</t>
  </si>
  <si>
    <t xml:space="preserve">OL7507523M</t>
  </si>
  <si>
    <t xml:space="preserve">Stories and Fairy Tales</t>
  </si>
  <si>
    <t xml:space="preserve">October 14, 1993</t>
  </si>
  <si>
    <t xml:space="preserve">Mammoth</t>
  </si>
  <si>
    <t xml:space="preserve">/authors/OL25931A || /authors/OL988759A</t>
  </si>
  <si>
    <t xml:space="preserve">96</t>
  </si>
  <si>
    <t xml:space="preserve">W000013400_C01</t>
  </si>
  <si>
    <t xml:space="preserve">'Stories and Fairy Tales'.</t>
  </si>
  <si>
    <t xml:space="preserve">SERH0029</t>
  </si>
  <si>
    <t xml:space="preserve">W000014515</t>
  </si>
  <si>
    <t xml:space="preserve">Louisa May Alcott</t>
  </si>
  <si>
    <t xml:space="preserve">OL29984W</t>
  </si>
  <si>
    <t xml:space="preserve">OL23255939M</t>
  </si>
  <si>
    <t xml:space="preserve">1980</t>
  </si>
  <si>
    <t xml:space="preserve">Chelsea House</t>
  </si>
  <si>
    <t xml:space="preserve">/authors/OL26680A</t>
  </si>
  <si>
    <t xml:space="preserve">404</t>
  </si>
  <si>
    <t xml:space="preserve">No subtitle; Chelsea House 1980, 404 pp. Could be the Chelsea House biographical series (C05) or a Chelsea House reissue of Cheney's Life, Letters, and Journals (C01, similar length). The registry may be treating a Cheney reissue as a separate biography; verify before routing.</t>
  </si>
  <si>
    <t xml:space="preserve">SERH0030</t>
  </si>
  <si>
    <t xml:space="preserve">OL4104648M</t>
  </si>
  <si>
    <t xml:space="preserve">SERH0031</t>
  </si>
  <si>
    <t xml:space="preserve">OL1874676M</t>
  </si>
  <si>
    <t xml:space="preserve">selected fiction</t>
  </si>
  <si>
    <t xml:space="preserve">1990</t>
  </si>
  <si>
    <t xml:space="preserve">Little, Brown</t>
  </si>
  <si>
    <t xml:space="preserve">478</t>
  </si>
  <si>
    <t xml:space="preserve">W000014515_C03</t>
  </si>
  <si>
    <t xml:space="preserve">'selected fiction' / 'Selected Fiction'.</t>
  </si>
  <si>
    <t xml:space="preserve">SERH0032</t>
  </si>
  <si>
    <t xml:space="preserve">OL670532M</t>
  </si>
  <si>
    <t xml:space="preserve">an intimate anthology</t>
  </si>
  <si>
    <t xml:space="preserve">1997</t>
  </si>
  <si>
    <t xml:space="preserve">369</t>
  </si>
  <si>
    <t xml:space="preserve">W000014515_C04</t>
  </si>
  <si>
    <t xml:space="preserve">'an intimate anthology'.</t>
  </si>
  <si>
    <t xml:space="preserve">SERH0033</t>
  </si>
  <si>
    <t xml:space="preserve">OL6791295M</t>
  </si>
  <si>
    <t xml:space="preserve">2001</t>
  </si>
  <si>
    <t xml:space="preserve">University of Georgia Press</t>
  </si>
  <si>
    <t xml:space="preserve">SERH0034</t>
  </si>
  <si>
    <t xml:space="preserve">OL23274548M</t>
  </si>
  <si>
    <t xml:space="preserve">Little women ; little men ; Jo's boys</t>
  </si>
  <si>
    <t xml:space="preserve">2005</t>
  </si>
  <si>
    <t xml:space="preserve">Library of America || Distributed to the trade in the U.S. by Penguin Putnam</t>
  </si>
  <si>
    <t xml:space="preserve">1092</t>
  </si>
  <si>
    <t xml:space="preserve">W000014515_C02</t>
  </si>
  <si>
    <t xml:space="preserve">Title is the Little Women / Little Men / Jo's Boys omnibus (Library of America).</t>
  </si>
  <si>
    <t xml:space="preserve">SERH0035</t>
  </si>
  <si>
    <t xml:space="preserve">OL9519170M</t>
  </si>
  <si>
    <t xml:space="preserve">Louisa May Alcott Her Life, Letters, and Journals</t>
  </si>
  <si>
    <t xml:space="preserve">April 2003</t>
  </si>
  <si>
    <t xml:space="preserve">Fredonia Books (NL)</t>
  </si>
  <si>
    <t xml:space="preserve">416</t>
  </si>
  <si>
    <t xml:space="preserve">W000014515_C01</t>
  </si>
  <si>
    <t xml:space="preserve">Title/subtitle 'Her Life, Letters, and Journals'.</t>
  </si>
  <si>
    <t xml:space="preserve">SERH0036</t>
  </si>
  <si>
    <t xml:space="preserve">OL9896241M</t>
  </si>
  <si>
    <t xml:space="preserve">February 1991</t>
  </si>
  <si>
    <t xml:space="preserve">Little Brown &amp; Co (T)</t>
  </si>
  <si>
    <t xml:space="preserve">/authors/OL26680A || /authors/OL20936A || /authors/OL2866635A</t>
  </si>
  <si>
    <t xml:space="preserve">320</t>
  </si>
  <si>
    <t xml:space="preserve">SERH0037</t>
  </si>
  <si>
    <t xml:space="preserve">OL8192995M</t>
  </si>
  <si>
    <t xml:space="preserve">Works of Louisa May Alcott</t>
  </si>
  <si>
    <t xml:space="preserve">June 1986</t>
  </si>
  <si>
    <t xml:space="preserve">Amereon Ltd</t>
  </si>
  <si>
    <t xml:space="preserve">'Works of Louisa May Alcott'.</t>
  </si>
  <si>
    <t xml:space="preserve">SERH0038</t>
  </si>
  <si>
    <t xml:space="preserve">OL9536147M</t>
  </si>
  <si>
    <t xml:space="preserve">Louisa May Alcott (American Men &amp; Women of Letters)</t>
  </si>
  <si>
    <t xml:space="preserve">May 2004</t>
  </si>
  <si>
    <t xml:space="preserve">Chelsea House Publications</t>
  </si>
  <si>
    <t xml:space="preserve">W000014515_C05</t>
  </si>
  <si>
    <t xml:space="preserve">Title carries the 'American Men &amp; Women of Letters' series; assigned per the C05 definition. Note that this series volume may itself be a reissue of Cheney (C01).</t>
  </si>
  <si>
    <t xml:space="preserve">SERH0039</t>
  </si>
  <si>
    <t xml:space="preserve">OL32311079M</t>
  </si>
  <si>
    <t xml:space="preserve">Her Life, Letters, and Journals</t>
  </si>
  <si>
    <t xml:space="preserve">Oct 28, 2018</t>
  </si>
  <si>
    <t xml:space="preserve">Franklin Classics Trade Press</t>
  </si>
  <si>
    <t xml:space="preserve">/authors/OL26680A || /authors/OL2414275A</t>
  </si>
  <si>
    <t xml:space="preserve">434</t>
  </si>
  <si>
    <t xml:space="preserve">SERH0040</t>
  </si>
  <si>
    <t xml:space="preserve">W000005682</t>
  </si>
  <si>
    <t xml:space="preserve">Arthur Rimbaud</t>
  </si>
  <si>
    <t xml:space="preserve">OL156816W</t>
  </si>
  <si>
    <t xml:space="preserve">OL22910642M</t>
  </si>
  <si>
    <t xml:space="preserve">Leben und Dichtung</t>
  </si>
  <si>
    <t xml:space="preserve">Insel-Verlag</t>
  </si>
  <si>
    <t xml:space="preserve">/authors/OL44891A</t>
  </si>
  <si>
    <t xml:space="preserve">243</t>
  </si>
  <si>
    <t xml:space="preserve">W000005682_C04</t>
  </si>
  <si>
    <t xml:space="preserve">'Leben und Dichtung' (Insel 1921): named in the C04 definition as a study, but the subtitle ('life and poetry') suggests the volume may also carry translated poems. Assigned per definition.</t>
  </si>
  <si>
    <t xml:space="preserve">SERH0041</t>
  </si>
  <si>
    <t xml:space="preserve">OL16486418M</t>
  </si>
  <si>
    <t xml:space="preserve">une étude</t>
  </si>
  <si>
    <t xml:space="preserve">1956</t>
  </si>
  <si>
    <t xml:space="preserve">P. Seghers</t>
  </si>
  <si>
    <t xml:space="preserve">191</t>
  </si>
  <si>
    <t xml:space="preserve">Subtitle 'une étude' (Seghers): secondary study per C04 definition. (Seghers series volumes typically pair the study with a poem selection; routed as study per the frozen plan.)</t>
  </si>
  <si>
    <t xml:space="preserve">SERH0042</t>
  </si>
  <si>
    <t xml:space="preserve">OL20110077M</t>
  </si>
  <si>
    <t xml:space="preserve">205</t>
  </si>
  <si>
    <t xml:space="preserve">No subtitle, but Seghers with the same page count (191/205 pp) and years as the 'une étude' editions: same publication.</t>
  </si>
  <si>
    <t xml:space="preserve">SERH0043</t>
  </si>
  <si>
    <t xml:space="preserve">OL22067368M</t>
  </si>
  <si>
    <t xml:space="preserve">SERH0044</t>
  </si>
  <si>
    <t xml:space="preserve">OL16795845M</t>
  </si>
  <si>
    <t xml:space="preserve">SERH0045</t>
  </si>
  <si>
    <t xml:space="preserve">OL13722959M</t>
  </si>
  <si>
    <t xml:space="preserve">oeuvres choisies, bibliographe, dessins, portraits, fac-simile s</t>
  </si>
  <si>
    <t xml:space="preserve">1967</t>
  </si>
  <si>
    <t xml:space="preserve">Seghers</t>
  </si>
  <si>
    <t xml:space="preserve">W000005682_C02</t>
  </si>
  <si>
    <t xml:space="preserve">'oeuvres choisies ...' (Seghers 1967).</t>
  </si>
  <si>
    <t xml:space="preserve">SERH0046</t>
  </si>
  <si>
    <t xml:space="preserve">OL14677650M</t>
  </si>
  <si>
    <t xml:space="preserve">SERH0047</t>
  </si>
  <si>
    <t xml:space="preserve">OL23828694M</t>
  </si>
  <si>
    <t xml:space="preserve">SERH0048</t>
  </si>
  <si>
    <t xml:space="preserve">OL12897922M</t>
  </si>
  <si>
    <t xml:space="preserve">Al Athar Al-Shi'rya</t>
  </si>
  <si>
    <t xml:space="preserve">January 1996</t>
  </si>
  <si>
    <t xml:space="preserve">Unesco</t>
  </si>
  <si>
    <t xml:space="preserve">472</t>
  </si>
  <si>
    <t xml:space="preserve">'Al Athar Al-Shi'rya' (Unesco 1996, 472 pp): the title means 'the poetic works', i.e. an Arabic translation of Rimbaud's poetry (Unesco representative-works series), not a secondary study as the C04 definition states. Registry should move it to C01/C02.</t>
  </si>
  <si>
    <t xml:space="preserve">SERH0049</t>
  </si>
  <si>
    <t xml:space="preserve">11</t>
  </si>
  <si>
    <t xml:space="preserve">W000004772</t>
  </si>
  <si>
    <t xml:space="preserve">Josephus</t>
  </si>
  <si>
    <t xml:space="preserve">Flavius Josephus</t>
  </si>
  <si>
    <t xml:space="preserve">OL15202836W</t>
  </si>
  <si>
    <t xml:space="preserve">OL22079973M</t>
  </si>
  <si>
    <t xml:space="preserve">/authors/OL22041A</t>
  </si>
  <si>
    <t xml:space="preserve">17</t>
  </si>
  <si>
    <t xml:space="preserve">LOW</t>
  </si>
  <si>
    <t xml:space="preserve">No subtitle, date or publisher; 17 pp. Unidentifiable.</t>
  </si>
  <si>
    <t xml:space="preserve">SERH0050</t>
  </si>
  <si>
    <t xml:space="preserve">OL17723902M</t>
  </si>
  <si>
    <t xml:space="preserve">Josephus.</t>
  </si>
  <si>
    <t xml:space="preserve">1926</t>
  </si>
  <si>
    <t xml:space="preserve">Harvard University Press</t>
  </si>
  <si>
    <t xml:space="preserve">13</t>
  </si>
  <si>
    <t xml:space="preserve">Untitled Loeb volume (Harvard/Heinemann/Putnam) with no book range: cannot tell whether it is a Jewish War volume (C01), a Jewish Antiquities volume (C02), or a set-level record (C03).</t>
  </si>
  <si>
    <t xml:space="preserve">SERH0051</t>
  </si>
  <si>
    <t xml:space="preserve">OL18215215M</t>
  </si>
  <si>
    <t xml:space="preserve">SERH0052</t>
  </si>
  <si>
    <t xml:space="preserve">OL20425583M</t>
  </si>
  <si>
    <t xml:space="preserve">Heinemann || Putnam</t>
  </si>
  <si>
    <t xml:space="preserve">SERH0053</t>
  </si>
  <si>
    <t xml:space="preserve">OL6692380M</t>
  </si>
  <si>
    <t xml:space="preserve">10</t>
  </si>
  <si>
    <t xml:space="preserve">SERH0054</t>
  </si>
  <si>
    <t xml:space="preserve">OL13865368M</t>
  </si>
  <si>
    <t xml:space="preserve">Harvard University Press || Heinemann</t>
  </si>
  <si>
    <t xml:space="preserve">SERH0055</t>
  </si>
  <si>
    <t xml:space="preserve">OL15495071M</t>
  </si>
  <si>
    <t xml:space="preserve">in nine volumes.</t>
  </si>
  <si>
    <t xml:space="preserve">1943</t>
  </si>
  <si>
    <t xml:space="preserve">William Heinemann</t>
  </si>
  <si>
    <t xml:space="preserve">788</t>
  </si>
  <si>
    <t xml:space="preserve">W000004772_C03</t>
  </si>
  <si>
    <t xml:space="preserve">'in nine volumes.' (Heinemann 1943): the collected Loeb set.</t>
  </si>
  <si>
    <t xml:space="preserve">SERH0056</t>
  </si>
  <si>
    <t xml:space="preserve">OL13844277M</t>
  </si>
  <si>
    <t xml:space="preserve">Heinemann</t>
  </si>
  <si>
    <t xml:space="preserve">SERH0057</t>
  </si>
  <si>
    <t xml:space="preserve">OL17640639M</t>
  </si>
  <si>
    <t xml:space="preserve">Harvard University Press || W. Heinemann</t>
  </si>
  <si>
    <t xml:space="preserve">SERH0058</t>
  </si>
  <si>
    <t xml:space="preserve">OL17929260M</t>
  </si>
  <si>
    <t xml:space="preserve">SERH0059</t>
  </si>
  <si>
    <t xml:space="preserve">OL16492322M</t>
  </si>
  <si>
    <t xml:space="preserve">With an English translation by H.St.J. Thackeray.</t>
  </si>
  <si>
    <t xml:space="preserve">1958</t>
  </si>
  <si>
    <t xml:space="preserve">'With an English translation by H.St.J. Thackeray.': the collected Loeb set as defined in C03.</t>
  </si>
  <si>
    <t xml:space="preserve">SERH0060</t>
  </si>
  <si>
    <t xml:space="preserve">OL16696555M</t>
  </si>
  <si>
    <t xml:space="preserve">SERH0061</t>
  </si>
  <si>
    <t xml:space="preserve">OL17734232M</t>
  </si>
  <si>
    <t xml:space="preserve">SERH0062</t>
  </si>
  <si>
    <t xml:space="preserve">OL21123238M</t>
  </si>
  <si>
    <t xml:space="preserve">1961</t>
  </si>
  <si>
    <t xml:space="preserve">W. Heinemann</t>
  </si>
  <si>
    <t xml:space="preserve">SERH0063</t>
  </si>
  <si>
    <t xml:space="preserve">OL20836723M</t>
  </si>
  <si>
    <t xml:space="preserve">1965</t>
  </si>
  <si>
    <t xml:space="preserve">Heinemann || Harvard University Press</t>
  </si>
  <si>
    <t xml:space="preserve">SERH0064</t>
  </si>
  <si>
    <t xml:space="preserve">OL23745607M</t>
  </si>
  <si>
    <t xml:space="preserve">SERH0065</t>
  </si>
  <si>
    <t xml:space="preserve">OL19624130M</t>
  </si>
  <si>
    <t xml:space="preserve">with an English translation.</t>
  </si>
  <si>
    <t xml:space="preserve">1969</t>
  </si>
  <si>
    <t xml:space="preserve">'with an English translation.' (Harvard 1969): set-level description; volume not specified.</t>
  </si>
  <si>
    <t xml:space="preserve">SERH0066</t>
  </si>
  <si>
    <t xml:space="preserve">OL22373350M</t>
  </si>
  <si>
    <t xml:space="preserve">1998</t>
  </si>
  <si>
    <t xml:space="preserve">488</t>
  </si>
  <si>
    <t xml:space="preserve">SERH0067</t>
  </si>
  <si>
    <t xml:space="preserve">OL22373352M</t>
  </si>
  <si>
    <t xml:space="preserve">527</t>
  </si>
  <si>
    <t xml:space="preserve">SERH0068</t>
  </si>
  <si>
    <t xml:space="preserve">OL22373354M</t>
  </si>
  <si>
    <t xml:space="preserve">447</t>
  </si>
  <si>
    <t xml:space="preserve">SERH0069</t>
  </si>
  <si>
    <t xml:space="preserve">OL22373355M</t>
  </si>
  <si>
    <t xml:space="preserve">Books IX-XI</t>
  </si>
  <si>
    <t xml:space="preserve">531</t>
  </si>
  <si>
    <t xml:space="preserve">W000004772_C02</t>
  </si>
  <si>
    <t xml:space="preserve">'Books IX-XI' (1998, 531 pp): a book range beyond the seven books of the Jewish War, so a Jewish Antiquities volume.</t>
  </si>
  <si>
    <t xml:space="preserve">SERH0070</t>
  </si>
  <si>
    <t xml:space="preserve">OL22373357M</t>
  </si>
  <si>
    <t xml:space="preserve">517</t>
  </si>
  <si>
    <t xml:space="preserve">SERH0071</t>
  </si>
  <si>
    <t xml:space="preserve">OL22373359M</t>
  </si>
  <si>
    <t xml:space="preserve">487</t>
  </si>
  <si>
    <t xml:space="preserve">SERH0072</t>
  </si>
  <si>
    <t xml:space="preserve">OL22373362M</t>
  </si>
  <si>
    <t xml:space="preserve">375</t>
  </si>
  <si>
    <t xml:space="preserve">SERH0073</t>
  </si>
  <si>
    <t xml:space="preserve">OL23383601M</t>
  </si>
  <si>
    <t xml:space="preserve">Books XVIII-XIX</t>
  </si>
  <si>
    <t xml:space="preserve">431</t>
  </si>
  <si>
    <t xml:space="preserve">'Books XVIII-XIX': the frozen record lists this range as Jewish Antiquities (Loeb 433).</t>
  </si>
  <si>
    <t xml:space="preserve">SERH0074</t>
  </si>
  <si>
    <t xml:space="preserve">OL8599716M</t>
  </si>
  <si>
    <t xml:space="preserve">July 1, 1993</t>
  </si>
  <si>
    <t xml:space="preserve">Barbour Publishing, Incorporated</t>
  </si>
  <si>
    <t xml:space="preserve">/authors/OL22041A || /authors/OL166255A</t>
  </si>
  <si>
    <t xml:space="preserve">W000004772_C04</t>
  </si>
  <si>
    <t xml:space="preserve">Barbour 1993 with a second author key, matching the July 1, 1993 'The Essential Works' edition in the frozen record: modern selection.</t>
  </si>
  <si>
    <t xml:space="preserve">SERH0075</t>
  </si>
  <si>
    <t xml:space="preserve">15</t>
  </si>
  <si>
    <t xml:space="preserve">W000030489</t>
  </si>
  <si>
    <t xml:space="preserve">Cervantes</t>
  </si>
  <si>
    <t xml:space="preserve">Miguel de Cervantes Saavedra</t>
  </si>
  <si>
    <t xml:space="preserve">OL793866W</t>
  </si>
  <si>
    <t xml:space="preserve">OL19885754M</t>
  </si>
  <si>
    <t xml:space="preserve">prologues and epilogue</t>
  </si>
  <si>
    <t xml:space="preserve">1923</t>
  </si>
  <si>
    <t xml:space="preserve">/authors/OL66452A</t>
  </si>
  <si>
    <t xml:space="preserve">W000030489_C03</t>
  </si>
  <si>
    <t xml:space="preserve">'prologues and epilogue' (CUP 1923).</t>
  </si>
  <si>
    <t xml:space="preserve">SERH0076</t>
  </si>
  <si>
    <t xml:space="preserve">OL13985775M</t>
  </si>
  <si>
    <t xml:space="preserve">the Selected Works</t>
  </si>
  <si>
    <t xml:space="preserve">1972</t>
  </si>
  <si>
    <t xml:space="preserve">Chatto &amp; Windus Ltd.</t>
  </si>
  <si>
    <t xml:space="preserve">/authors/OL33442A</t>
  </si>
  <si>
    <t xml:space="preserve">W000030489_C01</t>
  </si>
  <si>
    <t xml:space="preserve">'the Selected Works' (Chatto 1972). Different author key (OL33442A) is probably the editor/translator.</t>
  </si>
  <si>
    <t xml:space="preserve">SERH0077</t>
  </si>
  <si>
    <t xml:space="preserve">OL13330422M</t>
  </si>
  <si>
    <t xml:space="preserve">November 2002</t>
  </si>
  <si>
    <t xml:space="preserve">Alba</t>
  </si>
  <si>
    <t xml:space="preserve">No subtitle; Alba, November 2002. Cannot match to the selected-works, Abecedario, or prologues editions.</t>
  </si>
  <si>
    <t xml:space="preserve">SERH0078</t>
  </si>
  <si>
    <t xml:space="preserve">16</t>
  </si>
  <si>
    <t xml:space="preserve">W000003030</t>
  </si>
  <si>
    <t xml:space="preserve">P. G. Wodehouse</t>
  </si>
  <si>
    <t xml:space="preserve">OL1337018W</t>
  </si>
  <si>
    <t xml:space="preserve">OL6316890M</t>
  </si>
  <si>
    <t xml:space="preserve">P. G. Wodehouse.</t>
  </si>
  <si>
    <t xml:space="preserve">1934</t>
  </si>
  <si>
    <t xml:space="preserve">Methuen &amp; co., ltd.</t>
  </si>
  <si>
    <t xml:space="preserve">/authors/OL136197A</t>
  </si>
  <si>
    <t xml:space="preserve">153</t>
  </si>
  <si>
    <t xml:space="preserve">Methuen 1934, 153 pp, no subtitle: too short for the five-novel omnibus and not identified as Selected Short Stories. Likely a 1930s Methuen selection with no component.</t>
  </si>
  <si>
    <t xml:space="preserve">SERH0079</t>
  </si>
  <si>
    <t xml:space="preserve">OL3502316M</t>
  </si>
  <si>
    <t xml:space="preserve">five complete novels.</t>
  </si>
  <si>
    <t xml:space="preserve">1983</t>
  </si>
  <si>
    <t xml:space="preserve">Avenel Books || Distributed by Crown Publishers by arrangement with Scott Meredith Literary Agency</t>
  </si>
  <si>
    <t xml:space="preserve">682</t>
  </si>
  <si>
    <t xml:space="preserve">W000003030_C01</t>
  </si>
  <si>
    <t xml:space="preserve">Five complete novels omnibus.</t>
  </si>
  <si>
    <t xml:space="preserve">SERH0080</t>
  </si>
  <si>
    <t xml:space="preserve">OL7685888M</t>
  </si>
  <si>
    <t xml:space="preserve">P.G. Wodehouse</t>
  </si>
  <si>
    <t xml:space="preserve">Five Complete Novels (The Return of Jeeves, Bertie Wooster Sees It Through, Spring Fever, The Butler Did It, The Old Reliable)</t>
  </si>
  <si>
    <t xml:space="preserve">November 15, 1995</t>
  </si>
  <si>
    <t xml:space="preserve">Wings</t>
  </si>
  <si>
    <t xml:space="preserve">688</t>
  </si>
  <si>
    <t xml:space="preserve">SERH0081</t>
  </si>
  <si>
    <t xml:space="preserve">W000002404</t>
  </si>
  <si>
    <t xml:space="preserve">Henry Lawson</t>
  </si>
  <si>
    <t xml:space="preserve">OL1230156W</t>
  </si>
  <si>
    <t xml:space="preserve">OL6521638M</t>
  </si>
  <si>
    <t xml:space="preserve">twenty stories and seven poems</t>
  </si>
  <si>
    <t xml:space="preserve">1947</t>
  </si>
  <si>
    <t xml:space="preserve">Angus and Robertson</t>
  </si>
  <si>
    <t xml:space="preserve">/authors/OL124130A</t>
  </si>
  <si>
    <t xml:space="preserve">337</t>
  </si>
  <si>
    <t xml:space="preserve">W000002404_C01</t>
  </si>
  <si>
    <t xml:space="preserve">'twenty stories and seven poems' (A&amp;R 1947).</t>
  </si>
  <si>
    <t xml:space="preserve">SERH0082</t>
  </si>
  <si>
    <t xml:space="preserve">OL4590805M</t>
  </si>
  <si>
    <t xml:space="preserve">1976</t>
  </si>
  <si>
    <t xml:space="preserve">University of Queensland Press</t>
  </si>
  <si>
    <t xml:space="preserve">393</t>
  </si>
  <si>
    <t xml:space="preserve">No subtitle; University of Queensland Press 1976, 393 pp. Probably a portable-author selection of stories and poems, which has no component; not evidenced as C02 Selected Stories (Angus &amp; Robertson).</t>
  </si>
  <si>
    <t xml:space="preserve">SERH0083</t>
  </si>
  <si>
    <t xml:space="preserve">OL1794866M</t>
  </si>
  <si>
    <t xml:space="preserve">a literary heritage</t>
  </si>
  <si>
    <t xml:space="preserve">1988</t>
  </si>
  <si>
    <t xml:space="preserve">Octopus</t>
  </si>
  <si>
    <t xml:space="preserve">304</t>
  </si>
  <si>
    <t xml:space="preserve">W000002404_C04</t>
  </si>
  <si>
    <t xml:space="preserve">'a literary heritage' (Octopus 1988).</t>
  </si>
  <si>
    <t xml:space="preserve">SERH0084</t>
  </si>
  <si>
    <t xml:space="preserve">20</t>
  </si>
  <si>
    <t xml:space="preserve">W000021761</t>
  </si>
  <si>
    <t xml:space="preserve">Poems</t>
  </si>
  <si>
    <t xml:space="preserve">Robert Graves</t>
  </si>
  <si>
    <t xml:space="preserve">OL5036953W</t>
  </si>
  <si>
    <t xml:space="preserve">OL6519850M</t>
  </si>
  <si>
    <t xml:space="preserve">Collected poems</t>
  </si>
  <si>
    <t xml:space="preserve">1938</t>
  </si>
  <si>
    <t xml:space="preserve">Random House</t>
  </si>
  <si>
    <t xml:space="preserve">/authors/OL1097266A</t>
  </si>
  <si>
    <t xml:space="preserve">190</t>
  </si>
  <si>
    <t xml:space="preserve">'Collected poems' (Random House 1938, 190 pp) predates Collected Poems 1914-1947 (C01) and the later collections (C03); the 1938 Collected Poems has no component.</t>
  </si>
  <si>
    <t xml:space="preserve">SERH0085</t>
  </si>
  <si>
    <t xml:space="preserve">OL17755912M</t>
  </si>
  <si>
    <t xml:space="preserve">Collected poems.</t>
  </si>
  <si>
    <t xml:space="preserve">358</t>
  </si>
  <si>
    <t xml:space="preserve">W000021761_C03</t>
  </si>
  <si>
    <t xml:space="preserve">'Collected poems.' (Doubleday 1961, 358 pp): a later collected-poems edition, routed to C03 as 'comparable later collected-poems edition'; not the 1914-1947 volume.</t>
  </si>
  <si>
    <t xml:space="preserve">SERH0086</t>
  </si>
  <si>
    <t xml:space="preserve">OL23249232M</t>
  </si>
  <si>
    <t xml:space="preserve">SERH0087</t>
  </si>
  <si>
    <t xml:space="preserve">OL5822644M</t>
  </si>
  <si>
    <t xml:space="preserve">SERH0088</t>
  </si>
  <si>
    <t xml:space="preserve">OL766252M</t>
  </si>
  <si>
    <t xml:space="preserve">Complete poems</t>
  </si>
  <si>
    <t xml:space="preserve">1995</t>
  </si>
  <si>
    <t xml:space="preserve">Carcanet Press || Alyscamps Press</t>
  </si>
  <si>
    <t xml:space="preserve">'Complete poems' (Carcanet 1995).</t>
  </si>
  <si>
    <t xml:space="preserve">SERH0089</t>
  </si>
  <si>
    <t xml:space="preserve">OL17081986M</t>
  </si>
  <si>
    <t xml:space="preserve">The story of Marie Powell, wife to Mr Milton</t>
  </si>
  <si>
    <t xml:space="preserve">and, The islands of unwisdom / c Robert Graves ; edited by Simon Brittan</t>
  </si>
  <si>
    <t xml:space="preserve">Carcanet</t>
  </si>
  <si>
    <t xml:space="preserve">616</t>
  </si>
  <si>
    <t xml:space="preserve">W000021761_C06</t>
  </si>
  <si>
    <t xml:space="preserve">Marie/Mary Powell + Islands of Unwisdom fiction pairing (DETACH).</t>
  </si>
  <si>
    <t xml:space="preserve">SERH0090</t>
  </si>
  <si>
    <t xml:space="preserve">OL22490784M</t>
  </si>
  <si>
    <t xml:space="preserve">Robe rt Graves</t>
  </si>
  <si>
    <t xml:space="preserve">the story of Mary Powell, wife to Mr. Milton and The Islands of unwisdom</t>
  </si>
  <si>
    <t xml:space="preserve">SERH0091</t>
  </si>
  <si>
    <t xml:space="preserve">OL9000196M</t>
  </si>
  <si>
    <t xml:space="preserve">Robert Graves Collected Poems (Robert Graves Programme)</t>
  </si>
  <si>
    <t xml:space="preserve">August 2000</t>
  </si>
  <si>
    <t xml:space="preserve">Carcanet Press,</t>
  </si>
  <si>
    <t xml:space="preserve">'Robert Graves Collected Poems (Robert Graves Programme)' (Carcanet 2000); page count (3) is clearly wrong but the title is a later collected edition.</t>
  </si>
  <si>
    <t xml:space="preserve">SERH0092</t>
  </si>
  <si>
    <t xml:space="preserve">OL9000166M</t>
  </si>
  <si>
    <t xml:space="preserve">The Complete Poems (Graves, Robert, Selections.)</t>
  </si>
  <si>
    <t xml:space="preserve">January 2001</t>
  </si>
  <si>
    <t xml:space="preserve">Carcanet Pr</t>
  </si>
  <si>
    <t xml:space="preserve">'The Complete Poems' (Carcanet 2001).</t>
  </si>
  <si>
    <t xml:space="preserve">SERH0093</t>
  </si>
  <si>
    <t xml:space="preserve">21</t>
  </si>
  <si>
    <t xml:space="preserve">W000004821</t>
  </si>
  <si>
    <t xml:space="preserve">Rudyard Kipling</t>
  </si>
  <si>
    <t xml:space="preserve">OL15217334W</t>
  </si>
  <si>
    <t xml:space="preserve">OL19309121M</t>
  </si>
  <si>
    <t xml:space="preserve">A  choice of Kipling's verse</t>
  </si>
  <si>
    <t xml:space="preserve">Faber &amp; Faber</t>
  </si>
  <si>
    <t xml:space="preserve">/authors/OL24461A</t>
  </si>
  <si>
    <t xml:space="preserve">306</t>
  </si>
  <si>
    <t xml:space="preserve">W000004821_C02</t>
  </si>
  <si>
    <t xml:space="preserve">A Choice of Kipling's Verse (Faber).</t>
  </si>
  <si>
    <t xml:space="preserve">SERH0094</t>
  </si>
  <si>
    <t xml:space="preserve">OL2211568M</t>
  </si>
  <si>
    <t xml:space="preserve">something of myself and other autobiographical writings</t>
  </si>
  <si>
    <t xml:space="preserve">Cambridge University press</t>
  </si>
  <si>
    <t xml:space="preserve">294</t>
  </si>
  <si>
    <t xml:space="preserve">W000004821_C07</t>
  </si>
  <si>
    <t xml:space="preserve">Something of Myself / autobiographical writings (DETACH).</t>
  </si>
  <si>
    <t xml:space="preserve">SERH0095</t>
  </si>
  <si>
    <t xml:space="preserve">OL23750740M</t>
  </si>
  <si>
    <t xml:space="preserve">SERH0096</t>
  </si>
  <si>
    <t xml:space="preserve">OL21662284M</t>
  </si>
  <si>
    <t xml:space="preserve">1865-1936.</t>
  </si>
  <si>
    <t xml:space="preserve">1992</t>
  </si>
  <si>
    <t xml:space="preserve">Jarrold</t>
  </si>
  <si>
    <t xml:space="preserve">144</t>
  </si>
  <si>
    <t xml:space="preserve">Subtitle is only the lifespan '1865-1936.' (Jarrold 1992, 144 pp); contents not shown.</t>
  </si>
  <si>
    <t xml:space="preserve">SERH0097</t>
  </si>
  <si>
    <t xml:space="preserve">OL10901041M</t>
  </si>
  <si>
    <t xml:space="preserve">Selected Works</t>
  </si>
  <si>
    <t xml:space="preserve">Dorset Press</t>
  </si>
  <si>
    <t xml:space="preserve">W000004821_C08</t>
  </si>
  <si>
    <t xml:space="preserve">'Selected Works' (DETACH).</t>
  </si>
  <si>
    <t xml:space="preserve">SERH0098</t>
  </si>
  <si>
    <t xml:space="preserve">OL45636M</t>
  </si>
  <si>
    <t xml:space="preserve">2000</t>
  </si>
  <si>
    <t xml:space="preserve">Sterling</t>
  </si>
  <si>
    <t xml:space="preserve">48</t>
  </si>
  <si>
    <t xml:space="preserve">W000004821_C06</t>
  </si>
  <si>
    <t xml:space="preserve">Sterling 2000, 48 pp, no subtitle: matches the Sterling 'Poetry for Young People' entry in the frozen record (same publisher/format as the Stevenson rows SERH0108/0109).</t>
  </si>
  <si>
    <t xml:space="preserve">SERH0099</t>
  </si>
  <si>
    <t xml:space="preserve">OL9898632M</t>
  </si>
  <si>
    <t xml:space="preserve">August 17, 1995</t>
  </si>
  <si>
    <t xml:space="preserve">Kyle Cathie</t>
  </si>
  <si>
    <t xml:space="preserve">756</t>
  </si>
  <si>
    <t xml:space="preserve">Kyle Cathie 1995, 756 pp, no subtitle. Length suggests The Complete Verse (C01) but nothing on the row confirms it.</t>
  </si>
  <si>
    <t xml:space="preserve">SERH0100</t>
  </si>
  <si>
    <t xml:space="preserve">OL7361355M</t>
  </si>
  <si>
    <t xml:space="preserve">Stories from India</t>
  </si>
  <si>
    <t xml:space="preserve">July 20, 2003</t>
  </si>
  <si>
    <t xml:space="preserve">278</t>
  </si>
  <si>
    <t xml:space="preserve">'Stories from India' (DETACH).</t>
  </si>
  <si>
    <t xml:space="preserve">SERH0101</t>
  </si>
  <si>
    <t xml:space="preserve">OL7855491M</t>
  </si>
  <si>
    <t xml:space="preserve">A Choice of Kipling's Verse</t>
  </si>
  <si>
    <t xml:space="preserve">June 1963</t>
  </si>
  <si>
    <t xml:space="preserve">/authors/OL2641012A</t>
  </si>
  <si>
    <t xml:space="preserve">SERH0102</t>
  </si>
  <si>
    <t xml:space="preserve">OL7739654M</t>
  </si>
  <si>
    <t xml:space="preserve">Something of Myself  (Canto original series)</t>
  </si>
  <si>
    <t xml:space="preserve">June 28, 1991</t>
  </si>
  <si>
    <t xml:space="preserve">330</t>
  </si>
  <si>
    <t xml:space="preserve">SERH0103</t>
  </si>
  <si>
    <t xml:space="preserve">OL7681974M</t>
  </si>
  <si>
    <t xml:space="preserve">Selected Works, Deluxe Edition</t>
  </si>
  <si>
    <t xml:space="preserve">June 3, 2008</t>
  </si>
  <si>
    <t xml:space="preserve">Gramercy</t>
  </si>
  <si>
    <t xml:space="preserve">784</t>
  </si>
  <si>
    <t xml:space="preserve">SERH0104</t>
  </si>
  <si>
    <t xml:space="preserve">22</t>
  </si>
  <si>
    <t xml:space="preserve">W000005423</t>
  </si>
  <si>
    <t xml:space="preserve">Robert Louis Stevenson</t>
  </si>
  <si>
    <t xml:space="preserve">OL15403167W</t>
  </si>
  <si>
    <t xml:space="preserve">OL13536171M</t>
  </si>
  <si>
    <t xml:space="preserve">Poems and ballads</t>
  </si>
  <si>
    <t xml:space="preserve">1901</t>
  </si>
  <si>
    <t xml:space="preserve">C. Scribner's Sons</t>
  </si>
  <si>
    <t xml:space="preserve">/authors/OL25963A</t>
  </si>
  <si>
    <t xml:space="preserve">367</t>
  </si>
  <si>
    <t xml:space="preserve">W000005423_C02</t>
  </si>
  <si>
    <t xml:space="preserve">'Poems and ballads' (Scribner 1901).</t>
  </si>
  <si>
    <t xml:space="preserve">SERH0105</t>
  </si>
  <si>
    <t xml:space="preserve">OL6636359M</t>
  </si>
  <si>
    <t xml:space="preserve">hitherto unpublished prose writings</t>
  </si>
  <si>
    <t xml:space="preserve">The Bibliophile Society, printed for members only</t>
  </si>
  <si>
    <t xml:space="preserve">195</t>
  </si>
  <si>
    <t xml:space="preserve">W000005423_C04</t>
  </si>
  <si>
    <t xml:space="preserve">'hitherto unpublished prose writings' (Bibliophile Society 1921; DETACH).</t>
  </si>
  <si>
    <t xml:space="preserve">SERH0106</t>
  </si>
  <si>
    <t xml:space="preserve">OL178814M</t>
  </si>
  <si>
    <t xml:space="preserve">1925</t>
  </si>
  <si>
    <t xml:space="preserve">J.M. Dent &amp; Sons, Ltd. || E  . P. Dutton &amp; Co.</t>
  </si>
  <si>
    <t xml:space="preserve">259</t>
  </si>
  <si>
    <t xml:space="preserve">W000005423_C01</t>
  </si>
  <si>
    <t xml:space="preserve">Bare 'Poems' (Dent/Dutton 1925, 259 pp): a general collected-poems volume; constituent collections not listed.</t>
  </si>
  <si>
    <t xml:space="preserve">SERH0107</t>
  </si>
  <si>
    <t xml:space="preserve">OL20392219M</t>
  </si>
  <si>
    <t xml:space="preserve">volume 2, ballads, new poems</t>
  </si>
  <si>
    <t xml:space="preserve">'Poems, volume 2, ballads, new poems' (Heinemann 1926): second volume of a collected poems set; routed to the broad collection rather than C02 Poems and ballads.</t>
  </si>
  <si>
    <t xml:space="preserve">SERH0108</t>
  </si>
  <si>
    <t xml:space="preserve">OL23245066M</t>
  </si>
  <si>
    <t xml:space="preserve">W000005423_C03</t>
  </si>
  <si>
    <t xml:space="preserve">Sterling 2000, 48 pp, no subtitle: matches the 'Poetry for Young People' Sterling entry in the frozen record.</t>
  </si>
  <si>
    <t xml:space="preserve">SERH0109</t>
  </si>
  <si>
    <t xml:space="preserve">OL45639M</t>
  </si>
  <si>
    <t xml:space="preserve">SERH0110</t>
  </si>
  <si>
    <t xml:space="preserve">OL3321516M</t>
  </si>
  <si>
    <t xml:space="preserve">his best Pacific writings</t>
  </si>
  <si>
    <t xml:space="preserve">Bess Press</t>
  </si>
  <si>
    <t xml:space="preserve">W000005423_C05</t>
  </si>
  <si>
    <t xml:space="preserve">'his best Pacific writings' (DETACH).</t>
  </si>
  <si>
    <t xml:space="preserve">SERH0111</t>
  </si>
  <si>
    <t xml:space="preserve">OL11069429M</t>
  </si>
  <si>
    <t xml:space="preserve">Treasure Island (Monarch Notes)</t>
  </si>
  <si>
    <t xml:space="preserve">July 1983</t>
  </si>
  <si>
    <t xml:space="preserve">Monarch Notes</t>
  </si>
  <si>
    <t xml:space="preserve">W000005423_C06</t>
  </si>
  <si>
    <t xml:space="preserve">Treasure Island (Monarch Notes): study apparatus.</t>
  </si>
  <si>
    <t xml:space="preserve">SERH0112</t>
  </si>
  <si>
    <t xml:space="preserve">OL11183474M</t>
  </si>
  <si>
    <t xml:space="preserve">His Poetry Prose and the Story of His Life (Swc 1448)</t>
  </si>
  <si>
    <t xml:space="preserve">June 1974</t>
  </si>
  <si>
    <t xml:space="preserve">Caedmon Audio Cassette</t>
  </si>
  <si>
    <t xml:space="preserve">Caedmon audio cassette 'His Poetry, Prose and the Story of His Life': a non-print mixed poetry/prose/biography recording; no component covers it (nearest are C03 and C05).</t>
  </si>
  <si>
    <t xml:space="preserve">SERH0113</t>
  </si>
  <si>
    <t xml:space="preserve">OL7681973M</t>
  </si>
  <si>
    <t xml:space="preserve">Four Complete Novels, Deluxe Edition</t>
  </si>
  <si>
    <t xml:space="preserve">592</t>
  </si>
  <si>
    <t xml:space="preserve">'Four Complete Novels' (DETACH).</t>
  </si>
  <si>
    <t xml:space="preserve">SERH0114</t>
  </si>
  <si>
    <t xml:space="preserve">OL9864383M</t>
  </si>
  <si>
    <t xml:space="preserve">His Best Pacific Writings</t>
  </si>
  <si>
    <t xml:space="preserve">May 30, 2004</t>
  </si>
  <si>
    <t xml:space="preserve">Univ of Queensland Pr</t>
  </si>
  <si>
    <t xml:space="preserve">/authors/OL2820016A || /authors/OL25963A</t>
  </si>
  <si>
    <t xml:space="preserve">SERH0115</t>
  </si>
  <si>
    <t xml:space="preserve">OL8175636M</t>
  </si>
  <si>
    <t xml:space="preserve">The Complete Shorter Fiction</t>
  </si>
  <si>
    <t xml:space="preserve">September 1991</t>
  </si>
  <si>
    <t xml:space="preserve">Carroll &amp; Graf Publishers</t>
  </si>
  <si>
    <t xml:space="preserve">'The Complete Shorter Fiction' (DETACH).</t>
  </si>
  <si>
    <t xml:space="preserve">SERH0116</t>
  </si>
  <si>
    <t xml:space="preserve">23</t>
  </si>
  <si>
    <t xml:space="preserve">W000004923</t>
  </si>
  <si>
    <t xml:space="preserve">Rubén Darío</t>
  </si>
  <si>
    <t xml:space="preserve">OL15239288W</t>
  </si>
  <si>
    <t xml:space="preserve">OL21299206M</t>
  </si>
  <si>
    <t xml:space="preserve">Azul ...</t>
  </si>
  <si>
    <t xml:space="preserve">1919</t>
  </si>
  <si>
    <t xml:space="preserve">Impe. de J. Pueyo</t>
  </si>
  <si>
    <t xml:space="preserve">/authors/OL76614A</t>
  </si>
  <si>
    <t xml:space="preserve">238</t>
  </si>
  <si>
    <t xml:space="preserve">W000004923_C01</t>
  </si>
  <si>
    <t xml:space="preserve">'Azul ...' (1919).</t>
  </si>
  <si>
    <t xml:space="preserve">SERH0117</t>
  </si>
  <si>
    <t xml:space="preserve">OL1137947M</t>
  </si>
  <si>
    <t xml:space="preserve">Poesía</t>
  </si>
  <si>
    <t xml:space="preserve">1989</t>
  </si>
  <si>
    <t xml:space="preserve">Editorial Nueva Nicaragua</t>
  </si>
  <si>
    <t xml:space="preserve">693</t>
  </si>
  <si>
    <t xml:space="preserve">W000004923_C04</t>
  </si>
  <si>
    <t xml:space="preserve">'Poesía' (Editorial Nueva Nicaragua 1989, 693 pp): length indicates a comprehensive poetry collection rather than a bounded anthology.</t>
  </si>
  <si>
    <t xml:space="preserve">SERH0118</t>
  </si>
  <si>
    <t xml:space="preserve">OL139546M</t>
  </si>
  <si>
    <t xml:space="preserve">Azul--</t>
  </si>
  <si>
    <t xml:space="preserve">Cuentos</t>
  </si>
  <si>
    <t xml:space="preserve">1999</t>
  </si>
  <si>
    <t xml:space="preserve">Boreal</t>
  </si>
  <si>
    <t xml:space="preserve">201</t>
  </si>
  <si>
    <t xml:space="preserve">'Azul-- : Cuentos' (Boreal 1999): an edition of Azul (the work includes prose stories). Routed as the Azul publication unit; C06 is for prose-story material outside Azul.</t>
  </si>
  <si>
    <t xml:space="preserve">remediation_priority_rank</t>
  </si>
  <si>
    <t xml:space="preserve">r2_target_title</t>
  </si>
  <si>
    <t xml:space="preserve">r2_target_author</t>
  </si>
  <si>
    <t xml:space="preserve">component_id</t>
  </si>
  <si>
    <t xml:space="preserve">component_local_id</t>
  </si>
  <si>
    <t xml:space="preserve">component_label</t>
  </si>
  <si>
    <t xml:space="preserve">human_role_hint</t>
  </si>
  <si>
    <t xml:space="preserve">component_definition</t>
  </si>
  <si>
    <t xml:space="preserve">W000014024_C01</t>
  </si>
  <si>
    <t xml:space="preserve">C01</t>
  </si>
  <si>
    <t xml:space="preserve">Autobiography</t>
  </si>
  <si>
    <t xml:space="preserve">SUCCESSOR</t>
  </si>
  <si>
    <t xml:space="preserve">Henry James editions identified as autobiography.</t>
  </si>
  <si>
    <t xml:space="preserve">W000014024_C02</t>
  </si>
  <si>
    <t xml:space="preserve">C02</t>
  </si>
  <si>
    <t xml:space="preserve">Letters to A.C. Benson and Auguste Monod</t>
  </si>
  <si>
    <t xml:space="preserve">The correspondence volume Letters to A.C. Benson and Auguste Monod.</t>
  </si>
  <si>
    <t xml:space="preserve">W000014024_C03</t>
  </si>
  <si>
    <t xml:space="preserve">C03</t>
  </si>
  <si>
    <t xml:space="preserve">A Life in Letters</t>
  </si>
  <si>
    <t xml:space="preserve">Editions of A Life in Letters.</t>
  </si>
  <si>
    <t xml:space="preserve">W000014024_C04</t>
  </si>
  <si>
    <t xml:space="preserve">C04</t>
  </si>
  <si>
    <t xml:space="preserve">Stories and tales selections</t>
  </si>
  <si>
    <t xml:space="preserve">Collected Stories, Selected Tales, stories of the supernatural, seven stories and studies, and substantially equivalent story/tale selections.</t>
  </si>
  <si>
    <t xml:space="preserve">C05</t>
  </si>
  <si>
    <t xml:space="preserve">Selected-fiction / selected-novels omnibus</t>
  </si>
  <si>
    <t xml:space="preserve">Omnibus or selected-fiction editions combining named Henry James fiction, including Daisy Miller, Washington Square, The Portrait of a Lady, The Bostonians, and The Aspern Papers. Treat the omnibus as one edition-level component; do not split it into constituent novels.</t>
  </si>
  <si>
    <t xml:space="preserve">W000014024_C06</t>
  </si>
  <si>
    <t xml:space="preserve">C06</t>
  </si>
  <si>
    <t xml:space="preserve">Critical essays / essays on art and drama</t>
  </si>
  <si>
    <t xml:space="preserve">Critical-essay collections and essays on art or drama.</t>
  </si>
  <si>
    <t xml:space="preserve">W000014024_C07</t>
  </si>
  <si>
    <t xml:space="preserve">C07</t>
  </si>
  <si>
    <t xml:space="preserve">The Spoils of Poynton — Bodley Head volume</t>
  </si>
  <si>
    <t xml:space="preserve">The Bodley Head volume explicitly identified as The Spoils of Poynton.</t>
  </si>
  <si>
    <t xml:space="preserve">C08</t>
  </si>
  <si>
    <t xml:space="preserve">Representative selections</t>
  </si>
  <si>
    <t xml:space="preserve">The 1941 representative-selections publication and clear manifestations of it.</t>
  </si>
  <si>
    <t xml:space="preserve">W000031472_C01</t>
  </si>
  <si>
    <t xml:space="preserve">On the Properties of Foodstuffs</t>
  </si>
  <si>
    <t xml:space="preserve">On the Properties of Foodstuffs / De alimentorum facultatibus.</t>
  </si>
  <si>
    <t xml:space="preserve">W000031472_C02</t>
  </si>
  <si>
    <t xml:space="preserve">On Diseases and Symptoms</t>
  </si>
  <si>
    <t xml:space="preserve">On Diseases and Symptoms.</t>
  </si>
  <si>
    <t xml:space="preserve">On Antecedent Causes</t>
  </si>
  <si>
    <t xml:space="preserve">On Antecedent Causes.</t>
  </si>
  <si>
    <t xml:space="preserve">Selected Poems</t>
  </si>
  <si>
    <t xml:space="preserve">Selected Poems and clearly equivalent selected-poetry editions.</t>
  </si>
  <si>
    <t xml:space="preserve">Novel omnibus</t>
  </si>
  <si>
    <t xml:space="preserve">Editions combining multiple Lawrence fictional works or novels, including the named Sons and Lovers / Fox / Love Among the Haystacks / Aaron's Rod / Ladybird / Women in Love groupings and Rainbow/Women in Love. Do not route by one constituent novel.</t>
  </si>
  <si>
    <t xml:space="preserve">W000030498_C03</t>
  </si>
  <si>
    <t xml:space="preserve">Short-story collections / Selected Tales</t>
  </si>
  <si>
    <t xml:space="preserve">Short-story collections, short stories, and Selected Tales.</t>
  </si>
  <si>
    <t xml:space="preserve">W000030498_C04</t>
  </si>
  <si>
    <t xml:space="preserve">Selected literary criticism / critical essays</t>
  </si>
  <si>
    <t xml:space="preserve">Selected literary criticism, critical essays, and equivalent criticism collections.</t>
  </si>
  <si>
    <t xml:space="preserve">W000030498_C05</t>
  </si>
  <si>
    <t xml:space="preserve">Biography / reminiscences / correspondence</t>
  </si>
  <si>
    <t xml:space="preserve">Composite biography, reminiscences, correspondence, or equivalent biographical collections.</t>
  </si>
  <si>
    <t xml:space="preserve">Rare-book catalogue</t>
  </si>
  <si>
    <t xml:space="preserve">EXCLUDE_APPARATUS</t>
  </si>
  <si>
    <t xml:space="preserve">The 1934 catalogue or analogous catalogue of first editions, manuscripts, paintings, photographs, or association material.</t>
  </si>
  <si>
    <t xml:space="preserve">Passages from his writings</t>
  </si>
  <si>
    <t xml:space="preserve">Passages from his writings with a brief life sketch and reading guide.</t>
  </si>
  <si>
    <t xml:space="preserve">W000023649_C02</t>
  </si>
  <si>
    <t xml:space="preserve">Representative Selections, especially the 1934 American Book Company selection.</t>
  </si>
  <si>
    <t xml:space="preserve">W000023649_C03</t>
  </si>
  <si>
    <t xml:space="preserve">Selected Essays / Essays, Lectures and Poems</t>
  </si>
  <si>
    <t xml:space="preserve">Selected Essays and Selected Essays, Lectures and Poems type selections.</t>
  </si>
  <si>
    <t xml:space="preserve">Essays and journals</t>
  </si>
  <si>
    <t xml:space="preserve">Editions explicitly identified as essays and journals.</t>
  </si>
  <si>
    <t xml:space="preserve">W000023649_C05</t>
  </si>
  <si>
    <t xml:space="preserve">Selected prose and poetry / Poems and Essays</t>
  </si>
  <si>
    <t xml:space="preserve">Selected prose and poetry, Poems and Essays, or equivalent mixed selections.</t>
  </si>
  <si>
    <t xml:space="preserve">Poetry and prose</t>
  </si>
  <si>
    <t xml:space="preserve">The poetry &amp; prose / poetry and prose selection represented by the 1939/1946 editions.</t>
  </si>
  <si>
    <t xml:space="preserve">W000003023_C02</t>
  </si>
  <si>
    <t xml:space="preserve">Poems — Everyman's</t>
  </si>
  <si>
    <t xml:space="preserve">Poems editions in the Everyman's Library or Everyman's University Paperbacks lineage.</t>
  </si>
  <si>
    <t xml:space="preserve">W000003023_C03</t>
  </si>
  <si>
    <t xml:space="preserve">Poetical works</t>
  </si>
  <si>
    <t xml:space="preserve">Edition explicitly identified as poetical works.</t>
  </si>
  <si>
    <t xml:space="preserve">Canterbury Tales selections</t>
  </si>
  <si>
    <t xml:space="preserve">The Canterbury Tales prologue or individual-tale selections, including General Prologue, Knight's Tale, Nun's Priest's Tale, Wife of Bath's Prologue, and Prioress/Sir Thopas/Monk/Clerk/Squire selections.</t>
  </si>
  <si>
    <t xml:space="preserve">W000005351_C02</t>
  </si>
  <si>
    <t xml:space="preserve">The Legend of Good Women</t>
  </si>
  <si>
    <t xml:space="preserve">The Legend of Good Women.</t>
  </si>
  <si>
    <t xml:space="preserve">W000005351_C03</t>
  </si>
  <si>
    <t xml:space="preserve">Canterbury Tales / Troilus and Criseyde selection</t>
  </si>
  <si>
    <t xml:space="preserve">A combined selection from The Canterbury Tales and Troilus and Criseyde.</t>
  </si>
  <si>
    <t xml:space="preserve">Study apparatus / CD-ROM manual</t>
  </si>
  <si>
    <t xml:space="preserve">Sources and backgrounds, CD-ROM manuals, or analogous study/apparatus publications.</t>
  </si>
  <si>
    <t xml:space="preserve">Fairy-tale / story collections</t>
  </si>
  <si>
    <t xml:space="preserve">The Complete Fairy Tales and Stories, The Complete Stories, Stories and Fairy Tales, or clearly equivalent tale/story collections.</t>
  </si>
  <si>
    <t xml:space="preserve">W000013400_C02</t>
  </si>
  <si>
    <t xml:space="preserve">His Poems and the Story of His Life</t>
  </si>
  <si>
    <t xml:space="preserve">His Poems and the Story of His Life.</t>
  </si>
  <si>
    <t xml:space="preserve">W000013400_C03</t>
  </si>
  <si>
    <t xml:space="preserve">Oeuvres, tome 2</t>
  </si>
  <si>
    <t xml:space="preserve">The edition identified as Oeuvres, tome 2.</t>
  </si>
  <si>
    <t xml:space="preserve">W000013400_C04</t>
  </si>
  <si>
    <t xml:space="preserve">The maker of fairy tales</t>
  </si>
  <si>
    <t xml:space="preserve">The 1942 biographical publication identified as the maker of fairy tales.</t>
  </si>
  <si>
    <t xml:space="preserve">PRIMARY_SUCCESSOR_HINT</t>
  </si>
  <si>
    <t xml:space="preserve">Ednah D. Cheney (ed.), Louisa May Alcott: Her Life, Letters, and Journals, including title variants and reissues.</t>
  </si>
  <si>
    <t xml:space="preserve">Little Women / Little Men / Jo's Boys omnibus</t>
  </si>
  <si>
    <t xml:space="preserve">DETACH</t>
  </si>
  <si>
    <t xml:space="preserve">The omnibus combining Little Women, Little Men, and Jo's Boys.</t>
  </si>
  <si>
    <t xml:space="preserve">Works / Selected Fiction</t>
  </si>
  <si>
    <t xml:space="preserve">Works of Louisa May Alcott, Selected Fiction, and equivalent broad fiction selections.</t>
  </si>
  <si>
    <t xml:space="preserve">An intimate anthology</t>
  </si>
  <si>
    <t xml:space="preserve">The publication identified as an intimate anthology.</t>
  </si>
  <si>
    <t xml:space="preserve">American Men &amp; Women of Letters biography</t>
  </si>
  <si>
    <t xml:space="preserve">The Chelsea House / American Men &amp; Women of Letters biographical publication.</t>
  </si>
  <si>
    <t xml:space="preserve">W000014515_C06</t>
  </si>
  <si>
    <t xml:space="preserve">Childhood-diary excerpts</t>
  </si>
  <si>
    <t xml:space="preserve">The book represented by the description of excerpts from Alcott's childhood diaries.</t>
  </si>
  <si>
    <t xml:space="preserve">W000005682_C01</t>
  </si>
  <si>
    <t xml:space="preserve">Complete works</t>
  </si>
  <si>
    <t xml:space="preserve">Oeuvres complètes / Complete Works, including Perennial or P.S. editions.</t>
  </si>
  <si>
    <t xml:space="preserve">Selected works / anthologies</t>
  </si>
  <si>
    <t xml:space="preserve">Oeuvres choisies, présentation et anthologie, illustrated Poèmes et textes, and equivalent selected-work anthologies.</t>
  </si>
  <si>
    <t xml:space="preserve">W000005682_C03</t>
  </si>
  <si>
    <t xml:space="preserve">A Season in Hell</t>
  </si>
  <si>
    <t xml:space="preserve">A Season in Hell.</t>
  </si>
  <si>
    <t xml:space="preserve">Secondary studies of Rimbaud</t>
  </si>
  <si>
    <t xml:space="preserve">Critical or biographical studies such as une étude, Leben und Dichtung, and Al Athar Al-Shi'rya when functioning as secondary study rather than an edition of his works.</t>
  </si>
  <si>
    <t xml:space="preserve">W000004772_C01</t>
  </si>
  <si>
    <t xml:space="preserve">The Jewish War</t>
  </si>
  <si>
    <t xml:space="preserve">The Jewish War, including Loeb volumes and book-range manifestations.</t>
  </si>
  <si>
    <t xml:space="preserve">Jewish Antiquities</t>
  </si>
  <si>
    <t xml:space="preserve">Jewish Antiquities, including Loeb volumes and book-range manifestations.</t>
  </si>
  <si>
    <t xml:space="preserve">Multi-volume Loeb Josephus</t>
  </si>
  <si>
    <t xml:space="preserve">The collected multi-volume Josephus set in nine or ten volumes, including Thackeray and successor Loeb volumes when presented as the broad collected set.</t>
  </si>
  <si>
    <t xml:space="preserve">Modern selections / essential writings</t>
  </si>
  <si>
    <t xml:space="preserve">The Essential Works, The Essential Writings, Jewish War and other selections, and comparable modern selections.</t>
  </si>
  <si>
    <t xml:space="preserve">Selected Works / selections from his works</t>
  </si>
  <si>
    <t xml:space="preserve">The Selected Works / selections from his works publications.</t>
  </si>
  <si>
    <t xml:space="preserve">W000030489_C02</t>
  </si>
  <si>
    <t xml:space="preserve">An Alphabet of Quijote</t>
  </si>
  <si>
    <t xml:space="preserve">Un Abecedario De El Quijote / An Alphabet of Quijote.</t>
  </si>
  <si>
    <t xml:space="preserve">Prologues and epilogue</t>
  </si>
  <si>
    <t xml:space="preserve">The publication identified as prologues and epilogue.</t>
  </si>
  <si>
    <t xml:space="preserve">Five Complete Novels omnibus</t>
  </si>
  <si>
    <t xml:space="preserve">The five-novel omnibus containing The Return of Jeeves, Bertie Wooster Sees It Through, Spring Fever, The Butler Did It, and The Old Reliable. Treat the omnibus as one component rather than five constituent novels.</t>
  </si>
  <si>
    <t xml:space="preserve">W000003030_C02</t>
  </si>
  <si>
    <t xml:space="preserve">Selected Short Stories</t>
  </si>
  <si>
    <t xml:space="preserve">Selected Short Stories.</t>
  </si>
  <si>
    <t xml:space="preserve">Twenty stories and seven poems</t>
  </si>
  <si>
    <t xml:space="preserve">The Colin Roderick selection of twenty stories and seven poems, including 1947/1950 manifestations.</t>
  </si>
  <si>
    <t xml:space="preserve">W000002404_C02</t>
  </si>
  <si>
    <t xml:space="preserve">Selected Stories</t>
  </si>
  <si>
    <t xml:space="preserve">Selected Stories, including the Angus &amp; Robertson Classics edition.</t>
  </si>
  <si>
    <t xml:space="preserve">W000002404_C03</t>
  </si>
  <si>
    <t xml:space="preserve">Illustrated poems</t>
  </si>
  <si>
    <t xml:space="preserve">The publication explicitly identified as illustrated poems.</t>
  </si>
  <si>
    <t xml:space="preserve">Master story-teller / literary heritage</t>
  </si>
  <si>
    <t xml:space="preserve">The master story-teller and a literary heritage selections/appreciations.</t>
  </si>
  <si>
    <t xml:space="preserve">W000021761_C01</t>
  </si>
  <si>
    <t xml:space="preserve">Collected Poems 1914-1947</t>
  </si>
  <si>
    <t xml:space="preserve">Collected Poems 1914-1947 and direct manifestations of that collection.</t>
  </si>
  <si>
    <t xml:space="preserve">W000021761_C02</t>
  </si>
  <si>
    <t xml:space="preserve">Poems 1938-1945</t>
  </si>
  <si>
    <t xml:space="preserve">Poems 1938-1945.</t>
  </si>
  <si>
    <t xml:space="preserve">Later Collected / Complete Poems</t>
  </si>
  <si>
    <t xml:space="preserve">Collected Poems 1965/1975, Complete Poems, and comparable later collected-poems editions.</t>
  </si>
  <si>
    <t xml:space="preserve">W000021761_C04</t>
  </si>
  <si>
    <t xml:space="preserve">Poems 1968-1970 / 1970-1972</t>
  </si>
  <si>
    <t xml:space="preserve">Poems 1968-1970 and Poems 1970-1972.</t>
  </si>
  <si>
    <t xml:space="preserve">W000021761_C05</t>
  </si>
  <si>
    <t xml:space="preserve">Selected poems</t>
  </si>
  <si>
    <t xml:space="preserve">Editions explicitly presented as selected poems or poems selected by the author.</t>
  </si>
  <si>
    <t xml:space="preserve">Marie Powell / Islands of Unwisdom fiction pairing</t>
  </si>
  <si>
    <t xml:space="preserve">The fiction publication pairing The Story of Marie/Mary Powell, Wife to Mr Milton with The Islands of Unwisdom.</t>
  </si>
  <si>
    <t xml:space="preserve">W000004821_C01</t>
  </si>
  <si>
    <t xml:space="preserve">Collected / complete verse</t>
  </si>
  <si>
    <t xml:space="preserve">Poems 1886-1929, Collected Verse, Complete Verse, Definitive Edition, and closely equivalent comprehensive verse collections.</t>
  </si>
  <si>
    <t xml:space="preserve">A Choice of Kipling's Verse.</t>
  </si>
  <si>
    <t xml:space="preserve">W000004821_C03</t>
  </si>
  <si>
    <t xml:space="preserve">Departmental Ditties and Other Verses</t>
  </si>
  <si>
    <t xml:space="preserve">Departmental Ditties and Other Verses.</t>
  </si>
  <si>
    <t xml:space="preserve">W000004821_C04</t>
  </si>
  <si>
    <t xml:space="preserve">The Seven Seas</t>
  </si>
  <si>
    <t xml:space="preserve">The Seven Seas.</t>
  </si>
  <si>
    <t xml:space="preserve">W000004821_C05</t>
  </si>
  <si>
    <t xml:space="preserve">Barrack-Room Ballads</t>
  </si>
  <si>
    <t xml:space="preserve">Barrack-Room Ballads and Other Poems.</t>
  </si>
  <si>
    <t xml:space="preserve">Selected Poems / Poetry for Young People</t>
  </si>
  <si>
    <t xml:space="preserve">Selected Poems, Poetry for Young People, and comparable bounded poetry selections.</t>
  </si>
  <si>
    <t xml:space="preserve">Something of Myself / autobiographical writings</t>
  </si>
  <si>
    <t xml:space="preserve">Something of Myself and other autobiographical writings.</t>
  </si>
  <si>
    <t xml:space="preserve">Stories from India / broad selected works</t>
  </si>
  <si>
    <t xml:space="preserve">Stories from India, broad Selected Works, or equivalent prose/mixed selections that are not a bounded verse collection.</t>
  </si>
  <si>
    <t xml:space="preserve">Poems / Collected Poems</t>
  </si>
  <si>
    <t xml:space="preserve">Poems / Collected Poems containing Underwoods, Ballads, Songs of Travel, A Child's Garden of Verses, or substantially equivalent broad poetry collections.</t>
  </si>
  <si>
    <t xml:space="preserve">Poems and ballads.</t>
  </si>
  <si>
    <t xml:space="preserve">Selected Poems, Poetry for Young People, including the illustrated 32-poem selection.</t>
  </si>
  <si>
    <t xml:space="preserve">Hitherto unpublished prose writings</t>
  </si>
  <si>
    <t xml:space="preserve">Robert Louis Stevenson: hitherto unpublished prose writings.</t>
  </si>
  <si>
    <t xml:space="preserve">Fiction / Pacific writings</t>
  </si>
  <si>
    <t xml:space="preserve">Four Complete Novels, The Complete Shorter Fiction, His Best Pacific Writings, and equivalent fiction/prose publications.</t>
  </si>
  <si>
    <t xml:space="preserve">Treasure Island study apparatus</t>
  </si>
  <si>
    <t xml:space="preserve">Treasure Island Monarch Notes or analogous study-guide apparatus.</t>
  </si>
  <si>
    <t xml:space="preserve">Azul</t>
  </si>
  <si>
    <t xml:space="preserve">Azul / Azul... editions, including Valera-prologued manifestations.</t>
  </si>
  <si>
    <t xml:space="preserve">W000004923_C02</t>
  </si>
  <si>
    <t xml:space="preserve">Prosas profanas</t>
  </si>
  <si>
    <t xml:space="preserve">Prosas profanas.</t>
  </si>
  <si>
    <t xml:space="preserve">W000004923_C03</t>
  </si>
  <si>
    <t xml:space="preserve">Cantos de vida y esperanza</t>
  </si>
  <si>
    <t xml:space="preserve">Cantos de vida y esperanza.</t>
  </si>
  <si>
    <t xml:space="preserve">Complete poetry / complete works</t>
  </si>
  <si>
    <t xml:space="preserve">Poesías completas, Obra completa, libros poéticos completos, and equivalent comprehensive collections.</t>
  </si>
  <si>
    <t xml:space="preserve">W000004923_C05</t>
  </si>
  <si>
    <t xml:space="preserve">Poetry anthologies and selections</t>
  </si>
  <si>
    <t xml:space="preserve">Antología poética, Selección poética, Eleven poems, Rubén Darío enamorado / Rubén Darío y el amor, La princesa está triste, semblanza y florilegio, and comparable bounded anthologies.</t>
  </si>
  <si>
    <t xml:space="preserve">W000004923_C06</t>
  </si>
  <si>
    <t xml:space="preserve">Cuentos / prose stories</t>
  </si>
  <si>
    <t xml:space="preserve">Cuentos and prose-story material that is not part of the poetry identity.</t>
  </si>
</sst>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name val="Calibri"/>
      <family val="0"/>
      <charset val="1"/>
    </font>
    <font>
      <b val="true"/>
      <sz val="13"/>
      <name val="Calibri"/>
      <family val="0"/>
      <charset val="1"/>
    </font>
    <font>
      <b val="true"/>
      <sz val="11"/>
      <color rgb="FFFFFFFF"/>
      <name val="Calibri"/>
      <family val="0"/>
      <charset val="1"/>
    </font>
  </fonts>
  <fills count="13">
    <fill>
      <patternFill patternType="none"/>
    </fill>
    <fill>
      <patternFill patternType="gray125"/>
    </fill>
    <fill>
      <patternFill patternType="solid">
        <fgColor rgb="FF1F4E78"/>
        <bgColor rgb="FF44546A"/>
      </patternFill>
    </fill>
    <fill>
      <patternFill patternType="solid">
        <fgColor rgb="FFD9EAF7"/>
        <bgColor rgb="FFD9E1F2"/>
      </patternFill>
    </fill>
    <fill>
      <patternFill patternType="solid">
        <fgColor rgb="FFD9EAD3"/>
        <bgColor rgb="FFD9EAF7"/>
      </patternFill>
    </fill>
    <fill>
      <patternFill patternType="solid">
        <fgColor rgb="FFF3F6F8"/>
        <bgColor rgb="FFF2F2F2"/>
      </patternFill>
    </fill>
    <fill>
      <patternFill patternType="solid">
        <fgColor rgb="FFEADCF8"/>
        <bgColor rgb="FFEDE7F6"/>
      </patternFill>
    </fill>
    <fill>
      <patternFill patternType="solid">
        <fgColor rgb="FFEDE7F6"/>
        <bgColor rgb="FFEADCF8"/>
      </patternFill>
    </fill>
    <fill>
      <patternFill patternType="solid">
        <fgColor rgb="FFBF9000"/>
        <bgColor rgb="FF808000"/>
      </patternFill>
    </fill>
    <fill>
      <patternFill patternType="solid">
        <fgColor rgb="FFFFF2CC"/>
        <bgColor rgb="FFF2F2F2"/>
      </patternFill>
    </fill>
    <fill>
      <patternFill patternType="solid">
        <fgColor rgb="FFF2F2F2"/>
        <bgColor rgb="FFF3F6F8"/>
      </patternFill>
    </fill>
    <fill>
      <patternFill patternType="solid">
        <fgColor rgb="FF44546A"/>
        <bgColor rgb="FF1F4E78"/>
      </patternFill>
    </fill>
    <fill>
      <patternFill patternType="solid">
        <fgColor rgb="FFD9E1F2"/>
        <bgColor rgb="FFD9EAF7"/>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left" vertical="center" textRotation="0" wrapText="false" indent="0" shrinkToFit="false"/>
      <protection locked="true" hidden="false"/>
    </xf>
    <xf numFmtId="164" fontId="6" fillId="3" borderId="0" xfId="20" applyFont="true" applyBorder="true" applyAlignment="true" applyProtection="false">
      <alignment horizontal="general" vertical="bottom" textRotation="0" wrapText="true" indent="0" shrinkToFit="false"/>
      <protection locked="true" hidden="false"/>
    </xf>
    <xf numFmtId="164" fontId="6" fillId="0" borderId="0"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6" fillId="5" borderId="0" xfId="20" applyFont="true" applyBorder="true" applyAlignment="true" applyProtection="false">
      <alignment horizontal="center" vertical="bottom" textRotation="0" wrapText="false" indent="0" shrinkToFit="false"/>
      <protection locked="true" hidden="false"/>
    </xf>
    <xf numFmtId="164" fontId="7" fillId="6" borderId="0" xfId="20" applyFont="true" applyBorder="true" applyAlignment="false" applyProtection="false">
      <alignment horizontal="general" vertical="bottom" textRotation="0" wrapText="false" indent="0" shrinkToFit="false"/>
      <protection locked="true" hidden="false"/>
    </xf>
    <xf numFmtId="164" fontId="6" fillId="7" borderId="0" xfId="20" applyFont="true" applyBorder="true" applyAlignment="false" applyProtection="false">
      <alignment horizontal="general" vertical="bottom" textRotation="0" wrapText="false" indent="0" shrinkToFit="false"/>
      <protection locked="true" hidden="false"/>
    </xf>
    <xf numFmtId="164" fontId="6" fillId="0" borderId="0" xfId="20" applyFont="true" applyBorder="true" applyAlignment="false" applyProtection="false">
      <alignment horizontal="general" vertical="bottom" textRotation="0" wrapText="false" indent="0" shrinkToFit="false"/>
      <protection locked="true" hidden="false"/>
    </xf>
    <xf numFmtId="164" fontId="8" fillId="2" borderId="0" xfId="20" applyFont="true" applyBorder="true" applyAlignment="true" applyProtection="false">
      <alignment horizontal="general" vertical="center" textRotation="0" wrapText="true" indent="0" shrinkToFit="false"/>
      <protection locked="true" hidden="false"/>
    </xf>
    <xf numFmtId="164" fontId="8" fillId="8" borderId="0" xfId="20" applyFont="true" applyBorder="true" applyAlignment="true" applyProtection="false">
      <alignment horizontal="general" vertical="center" textRotation="0" wrapText="true" indent="0" shrinkToFit="false"/>
      <protection locked="true" hidden="false"/>
    </xf>
    <xf numFmtId="164" fontId="4" fillId="9" borderId="0" xfId="20" applyFont="true" applyBorder="true" applyAlignment="true" applyProtection="false">
      <alignment horizontal="general" vertical="bottom" textRotation="0" wrapText="true" indent="0" shrinkToFit="false"/>
      <protection locked="true" hidden="false"/>
    </xf>
    <xf numFmtId="164" fontId="4" fillId="10" borderId="0" xfId="20" applyFont="false" applyBorder="true" applyAlignment="true" applyProtection="false">
      <alignment horizontal="general" vertical="bottom" textRotation="0" wrapText="true" indent="0" shrinkToFit="false"/>
      <protection locked="true" hidden="false"/>
    </xf>
    <xf numFmtId="164" fontId="4" fillId="9" borderId="0" xfId="20" applyFont="false" applyBorder="true" applyAlignment="true" applyProtection="false">
      <alignment horizontal="general" vertical="bottom" textRotation="0" wrapText="true" indent="0" shrinkToFit="false"/>
      <protection locked="true" hidden="false"/>
    </xf>
    <xf numFmtId="164" fontId="8" fillId="11" borderId="0" xfId="20" applyFont="true" applyBorder="true" applyAlignment="true" applyProtection="false">
      <alignment horizontal="general" vertical="center" textRotation="0" wrapText="true" indent="0" shrinkToFit="false"/>
      <protection locked="true" hidden="false"/>
    </xf>
    <xf numFmtId="164" fontId="6" fillId="12"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1">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BF9000"/>
          <bgColor rgb="FF000000"/>
        </patternFill>
      </fill>
    </dxf>
    <dxf>
      <fill>
        <patternFill patternType="solid">
          <fgColor rgb="FFFFF2CC"/>
          <bgColor rgb="FF000000"/>
        </patternFill>
      </fill>
    </dxf>
    <dxf>
      <fill>
        <patternFill patternType="solid">
          <fgColor rgb="FFF2F2F2"/>
          <bgColor rgb="FF000000"/>
        </patternFill>
      </fill>
    </dxf>
    <dxf>
      <fill>
        <patternFill patternType="solid">
          <fgColor rgb="FFD9EAD3"/>
          <bgColor rgb="FF000000"/>
        </patternFill>
      </fill>
    </dxf>
    <dxf>
      <fill>
        <patternFill patternType="solid">
          <fgColor rgb="FF274E13"/>
          <bgColor rgb="FF000000"/>
        </patternFill>
      </fill>
    </dxf>
    <dxf>
      <font>
        <b val="1"/>
        <color rgb="FF9C0006"/>
      </font>
      <fill>
        <patternFill>
          <bgColor rgb="FFF4CCCC"/>
        </patternFill>
      </fill>
    </dxf>
    <dxf>
      <font>
        <color rgb="FF274E13"/>
      </font>
      <fill>
        <patternFill>
          <bgColor rgb="FFD9EAD3"/>
        </patternFill>
      </fill>
    </dxf>
    <dxf>
      <fill>
        <patternFill patternType="solid">
          <fgColor rgb="FF44546A"/>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EADCF8"/>
      <rgbColor rgb="FF808080"/>
      <rgbColor rgb="FF9999FF"/>
      <rgbColor rgb="FF993366"/>
      <rgbColor rgb="FFFFF2CC"/>
      <rgbColor rgb="FFD9EA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3F6F8"/>
      <rgbColor rgb="FFD9EAD3"/>
      <rgbColor rgb="FFF2F2F2"/>
      <rgbColor rgb="FFEDE7F6"/>
      <rgbColor rgb="FFFF99CC"/>
      <rgbColor rgb="FFCC99FF"/>
      <rgbColor rgb="FFF4CCCC"/>
      <rgbColor rgb="FF3366FF"/>
      <rgbColor rgb="FF33CCCC"/>
      <rgbColor rgb="FF99CC00"/>
      <rgbColor rgb="FFFFCC00"/>
      <rgbColor rgb="FFBF9000"/>
      <rgbColor rgb="FFFF6600"/>
      <rgbColor rgb="FF44546A"/>
      <rgbColor rgb="FF969696"/>
      <rgbColor rgb="FF003366"/>
      <rgbColor rgb="FF339966"/>
      <rgbColor rgb="FF003300"/>
      <rgbColor rgb="FF274E13"/>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ComponentsTable" displayName="ComponentsTable" ref="A1:J83" headerRowCount="1" totalsRowCount="0" totalsRowShown="0">
  <tableColumns count="10">
    <tableColumn id="1" name="remediation_priority_rank"/>
    <tableColumn id="2" name="project_work_id"/>
    <tableColumn id="3" name="r2_target_title"/>
    <tableColumn id="4" name="r2_target_author"/>
    <tableColumn id="5" name="component_id"/>
    <tableColumn id="6" name="component_local_id"/>
    <tableColumn id="7" name="component_label"/>
    <tableColumn id="8" name="human_role_hint"/>
    <tableColumn id="9" name="component_definition"/>
    <tableColumn id="10" name="human_resolution_confidence"/>
  </tableColumns>
</table>
</file>

<file path=xl/tables/table2.xml><?xml version="1.0" encoding="utf-8"?>
<table xmlns="http://schemas.openxmlformats.org/spreadsheetml/2006/main" id="2" name="HumanAuditReviewTable" displayName="HumanAuditReviewTable" ref="A1:U119" headerRowCount="1" totalsRowCount="0" totalsRowShown="0">
  <tableColumns count="21">
    <tableColumn id="1" name="audit_case_id"/>
    <tableColumn id="2" name="priority_rank"/>
    <tableColumn id="3" name="project_work_id"/>
    <tableColumn id="4" name="target_title"/>
    <tableColumn id="5" name="target_author"/>
    <tableColumn id="6" name="current_ol_work_id"/>
    <tableColumn id="7" name="edition_key"/>
    <tableColumn id="8" name="edition_title"/>
    <tableColumn id="9" name="edition_subtitle"/>
    <tableColumn id="10" name="publish_date"/>
    <tableColumn id="11" name="publishers"/>
    <tableColumn id="12" name="edition_author_keys"/>
    <tableColumn id="13" name="pages"/>
    <tableColumn id="14" name="human_resolution_confidence"/>
    <tableColumn id="15" name="human_routing_decision"/>
    <tableColumn id="16" name="human_component_id"/>
    <tableColumn id="17" name="human_confidence"/>
    <tableColumn id="18" name="human_note"/>
    <tableColumn id="19" name="selected_component_label"/>
    <tableColumn id="20" name="selected_role_hint"/>
    <tableColumn id="21" name="row_qc"/>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1"/>
    <col collapsed="false" customWidth="true" hidden="false" outlineLevel="0" max="2" min="2" style="0" width="110"/>
  </cols>
  <sheetData>
    <row r="1" customFormat="false" ht="27.75" hidden="false" customHeight="true" outlineLevel="0" collapsed="false">
      <c r="A1" s="1" t="s">
        <v>0</v>
      </c>
      <c r="B1" s="1"/>
      <c r="C1" s="1"/>
      <c r="D1" s="1"/>
      <c r="E1" s="1"/>
      <c r="F1" s="1"/>
      <c r="G1" s="1"/>
      <c r="H1" s="1"/>
    </row>
    <row r="3" customFormat="false" ht="15" hidden="false" customHeight="false" outlineLevel="0" collapsed="false">
      <c r="A3" s="2" t="s">
        <v>1</v>
      </c>
      <c r="B3" s="2" t="s">
        <v>2</v>
      </c>
    </row>
    <row r="4" customFormat="false" ht="15" hidden="false" customHeight="false" outlineLevel="0" collapsed="false">
      <c r="A4" s="3" t="s">
        <v>3</v>
      </c>
      <c r="B4" s="4" t="s">
        <v>4</v>
      </c>
    </row>
    <row r="5" customFormat="false" ht="15" hidden="false" customHeight="false" outlineLevel="0" collapsed="false">
      <c r="A5" s="3" t="s">
        <v>5</v>
      </c>
      <c r="B5" s="4" t="s">
        <v>6</v>
      </c>
    </row>
    <row r="6" customFormat="false" ht="15" hidden="false" customHeight="false" outlineLevel="0" collapsed="false">
      <c r="A6" s="3" t="s">
        <v>7</v>
      </c>
      <c r="B6" s="4" t="n">
        <v>118</v>
      </c>
    </row>
    <row r="7" customFormat="false" ht="15" hidden="false" customHeight="false" outlineLevel="0" collapsed="false">
      <c r="A7" s="3" t="s">
        <v>8</v>
      </c>
      <c r="B7" s="4" t="n">
        <v>17</v>
      </c>
    </row>
    <row r="8" customFormat="false" ht="15" hidden="false" customHeight="false" outlineLevel="0" collapsed="false">
      <c r="A8" s="3" t="s">
        <v>9</v>
      </c>
      <c r="B8" s="4" t="n">
        <v>82</v>
      </c>
    </row>
    <row r="9" customFormat="false" ht="15" hidden="false" customHeight="false" outlineLevel="0" collapsed="false">
      <c r="A9" s="3" t="s">
        <v>10</v>
      </c>
      <c r="B9" s="4" t="s">
        <v>11</v>
      </c>
    </row>
    <row r="11" customFormat="false" ht="16.15" hidden="false" customHeight="false" outlineLevel="0" collapsed="false">
      <c r="A11" s="5" t="s">
        <v>12</v>
      </c>
      <c r="B11" s="5"/>
      <c r="C11" s="5"/>
      <c r="D11" s="5"/>
      <c r="E11" s="5"/>
      <c r="F11" s="5"/>
      <c r="G11" s="5"/>
      <c r="H11" s="5"/>
    </row>
    <row r="12" customFormat="false" ht="33.75" hidden="false" customHeight="true" outlineLevel="0" collapsed="false">
      <c r="A12" s="6" t="s">
        <v>13</v>
      </c>
      <c r="B12" s="4" t="s">
        <v>14</v>
      </c>
    </row>
    <row r="13" customFormat="false" ht="33.75" hidden="false" customHeight="true" outlineLevel="0" collapsed="false">
      <c r="A13" s="6" t="s">
        <v>15</v>
      </c>
      <c r="B13" s="4" t="s">
        <v>16</v>
      </c>
    </row>
    <row r="14" customFormat="false" ht="33.75" hidden="false" customHeight="true" outlineLevel="0" collapsed="false">
      <c r="A14" s="6" t="s">
        <v>17</v>
      </c>
      <c r="B14" s="4" t="s">
        <v>18</v>
      </c>
    </row>
    <row r="15" customFormat="false" ht="33.75" hidden="false" customHeight="true" outlineLevel="0" collapsed="false">
      <c r="A15" s="6" t="s">
        <v>19</v>
      </c>
      <c r="B15" s="4" t="s">
        <v>20</v>
      </c>
    </row>
    <row r="16" customFormat="false" ht="33.75" hidden="false" customHeight="true" outlineLevel="0" collapsed="false">
      <c r="A16" s="6" t="s">
        <v>21</v>
      </c>
      <c r="B16" s="4" t="s">
        <v>22</v>
      </c>
    </row>
    <row r="17" customFormat="false" ht="33.75" hidden="false" customHeight="true" outlineLevel="0" collapsed="false">
      <c r="A17" s="6" t="s">
        <v>23</v>
      </c>
      <c r="B17" s="4" t="s">
        <v>24</v>
      </c>
    </row>
    <row r="18" customFormat="false" ht="33.75" hidden="false" customHeight="true" outlineLevel="0" collapsed="false">
      <c r="A18" s="6" t="s">
        <v>25</v>
      </c>
      <c r="B18" s="4" t="s">
        <v>26</v>
      </c>
    </row>
    <row r="19" customFormat="false" ht="33.75" hidden="false" customHeight="true" outlineLevel="0" collapsed="false">
      <c r="A19" s="6" t="s">
        <v>27</v>
      </c>
      <c r="B19" s="4" t="s">
        <v>28</v>
      </c>
    </row>
    <row r="20" customFormat="false" ht="33.75" hidden="false" customHeight="true" outlineLevel="0" collapsed="false">
      <c r="A20" s="6" t="s">
        <v>29</v>
      </c>
      <c r="B20" s="4" t="s">
        <v>30</v>
      </c>
    </row>
    <row r="22" customFormat="false" ht="16.15" hidden="false" customHeight="false" outlineLevel="0" collapsed="false">
      <c r="A22" s="7" t="s">
        <v>31</v>
      </c>
      <c r="B22" s="7"/>
      <c r="C22" s="7"/>
      <c r="D22" s="7"/>
      <c r="E22" s="7"/>
      <c r="F22" s="7"/>
      <c r="G22" s="7"/>
      <c r="H22" s="7"/>
    </row>
    <row r="23" customFormat="false" ht="15" hidden="false" customHeight="false" outlineLevel="0" collapsed="false">
      <c r="A23" s="8" t="s">
        <v>32</v>
      </c>
      <c r="B23" s="8" t="s">
        <v>33</v>
      </c>
    </row>
    <row r="24" customFormat="false" ht="15" hidden="false" customHeight="false" outlineLevel="0" collapsed="false">
      <c r="A24" s="0" t="s">
        <v>34</v>
      </c>
      <c r="B24" s="0" t="n">
        <v>57</v>
      </c>
    </row>
    <row r="25" customFormat="false" ht="15" hidden="false" customHeight="false" outlineLevel="0" collapsed="false">
      <c r="A25" s="0" t="s">
        <v>35</v>
      </c>
      <c r="B25" s="0" t="n">
        <v>28</v>
      </c>
    </row>
    <row r="26" customFormat="false" ht="15" hidden="false" customHeight="false" outlineLevel="0" collapsed="false">
      <c r="A26" s="0" t="s">
        <v>36</v>
      </c>
      <c r="B26" s="0" t="n">
        <v>3</v>
      </c>
    </row>
    <row r="27" customFormat="false" ht="15" hidden="false" customHeight="false" outlineLevel="0" collapsed="false">
      <c r="A27" s="0" t="s">
        <v>37</v>
      </c>
      <c r="B27" s="0" t="n">
        <v>17</v>
      </c>
    </row>
    <row r="28" customFormat="false" ht="15" hidden="false" customHeight="false" outlineLevel="0" collapsed="false">
      <c r="A28" s="0" t="s">
        <v>38</v>
      </c>
      <c r="B28" s="0" t="n">
        <v>13</v>
      </c>
    </row>
    <row r="29" customFormat="false" ht="15" hidden="false" customHeight="false" outlineLevel="0" collapsed="false">
      <c r="A29" s="9" t="s">
        <v>39</v>
      </c>
      <c r="B29" s="9" t="n">
        <v>118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5"/>
    <col collapsed="false" customWidth="true" hidden="false" outlineLevel="0" max="4" min="4" style="0" width="20"/>
    <col collapsed="false" customWidth="true" hidden="false" outlineLevel="0" max="5" min="5" style="0" width="22"/>
    <col collapsed="false" customWidth="true" hidden="false" outlineLevel="0" max="7" min="6" style="0" width="14"/>
    <col collapsed="false" customWidth="true" hidden="false" outlineLevel="0" max="8" min="8" style="0" width="24"/>
    <col collapsed="false" customWidth="true" hidden="false" outlineLevel="0" max="9" min="9" style="0" width="42"/>
    <col collapsed="false" customWidth="true" hidden="false" outlineLevel="0" max="10" min="10" style="0" width="16"/>
    <col collapsed="false" customWidth="true" hidden="false" outlineLevel="0" max="11" min="11" style="0" width="30"/>
    <col collapsed="false" customWidth="true" hidden="false" outlineLevel="0" max="12" min="12" style="0" width="24"/>
    <col collapsed="false" customWidth="true" hidden="false" outlineLevel="0" max="13" min="13" style="0" width="8"/>
    <col collapsed="false" customWidth="true" hidden="false" outlineLevel="0" max="14" min="14" style="0" width="14"/>
    <col collapsed="false" customWidth="true" hidden="false" outlineLevel="0" max="15" min="15" style="0" width="22"/>
    <col collapsed="false" customWidth="true" hidden="false" outlineLevel="0" max="16" min="16" style="0" width="20"/>
    <col collapsed="false" customWidth="true" hidden="false" outlineLevel="0" max="17" min="17" style="0" width="14"/>
    <col collapsed="false" customWidth="true" hidden="false" outlineLevel="0" max="18" min="18" style="0" width="48"/>
    <col collapsed="false" customWidth="true" hidden="false" outlineLevel="0" max="19" min="19" style="0" width="34"/>
    <col collapsed="false" customWidth="true" hidden="false" outlineLevel="0" max="20" min="20" style="0" width="24"/>
    <col collapsed="false" customWidth="true" hidden="false" outlineLevel="0" max="21" min="21" style="0" width="26"/>
  </cols>
  <sheetData>
    <row r="1" customFormat="false" ht="28.35" hidden="false" customHeight="false" outlineLevel="0" collapsed="false">
      <c r="A1" s="10" t="s">
        <v>40</v>
      </c>
      <c r="B1" s="10" t="s">
        <v>41</v>
      </c>
      <c r="C1" s="10" t="s">
        <v>42</v>
      </c>
      <c r="D1" s="10" t="s">
        <v>43</v>
      </c>
      <c r="E1" s="10" t="s">
        <v>44</v>
      </c>
      <c r="F1" s="10" t="s">
        <v>45</v>
      </c>
      <c r="G1" s="10" t="s">
        <v>46</v>
      </c>
      <c r="H1" s="10" t="s">
        <v>47</v>
      </c>
      <c r="I1" s="10" t="s">
        <v>48</v>
      </c>
      <c r="J1" s="10" t="s">
        <v>49</v>
      </c>
      <c r="K1" s="10" t="s">
        <v>50</v>
      </c>
      <c r="L1" s="10" t="s">
        <v>51</v>
      </c>
      <c r="M1" s="10" t="s">
        <v>52</v>
      </c>
      <c r="N1" s="10" t="s">
        <v>53</v>
      </c>
      <c r="O1" s="11" t="s">
        <v>54</v>
      </c>
      <c r="P1" s="11" t="s">
        <v>55</v>
      </c>
      <c r="Q1" s="11" t="s">
        <v>56</v>
      </c>
      <c r="R1" s="11" t="s">
        <v>57</v>
      </c>
      <c r="S1" s="10" t="s">
        <v>58</v>
      </c>
      <c r="T1" s="10" t="s">
        <v>59</v>
      </c>
      <c r="U1" s="10" t="s">
        <v>60</v>
      </c>
    </row>
    <row r="2" customFormat="false" ht="36" hidden="false" customHeight="true" outlineLevel="0" collapsed="false">
      <c r="A2" s="4" t="s">
        <v>61</v>
      </c>
      <c r="B2" s="4" t="s">
        <v>13</v>
      </c>
      <c r="C2" s="4" t="s">
        <v>62</v>
      </c>
      <c r="D2" s="4" t="s">
        <v>63</v>
      </c>
      <c r="E2" s="4" t="s">
        <v>63</v>
      </c>
      <c r="F2" s="4" t="s">
        <v>64</v>
      </c>
      <c r="G2" s="4" t="s">
        <v>65</v>
      </c>
      <c r="H2" s="4" t="s">
        <v>63</v>
      </c>
      <c r="I2" s="4" t="s">
        <v>66</v>
      </c>
      <c r="J2" s="4" t="s">
        <v>67</v>
      </c>
      <c r="K2" s="4" t="s">
        <v>68</v>
      </c>
      <c r="L2" s="4" t="s">
        <v>69</v>
      </c>
      <c r="M2" s="4"/>
      <c r="N2" s="4" t="s">
        <v>70</v>
      </c>
      <c r="O2" s="12" t="s">
        <v>71</v>
      </c>
      <c r="P2" s="12" t="s">
        <v>72</v>
      </c>
      <c r="Q2" s="12" t="s">
        <v>73</v>
      </c>
      <c r="R2" s="12" t="s">
        <v>74</v>
      </c>
      <c r="S2" s="13" t="str">
        <f aca="false">IF(P2="","",IFERROR(VLOOKUP(P2,Components!$E$2:$H$83,3,FALSE()),"INVALID"))</f>
        <v>Representative selections</v>
      </c>
      <c r="T2" s="13" t="str">
        <f aca="false">IF(P2="","",IFERROR(VLOOKUP(P2,Components!$E$2:$H$83,4,FALSE()),"INVALID"))</f>
        <v>SUCCESSOR</v>
      </c>
      <c r="U2" s="13" t="str">
        <f aca="false">IF(O2="","",IF(O2="ASSIGN_COMPONENT",IF(P2&lt;&gt;"","OK","CHECK: component required"),IF(O2="HOLD_UNRESOLVED",IF(P2="","OK","CHECK: clear component"),IF(O2="REGISTRY_ISSUE",IF(R2&lt;&gt;"","OK","CHECK: note required"),"CHECK"))))</f>
        <v>OK</v>
      </c>
    </row>
    <row r="3" customFormat="false" ht="36" hidden="false" customHeight="true" outlineLevel="0" collapsed="false">
      <c r="A3" s="4" t="s">
        <v>75</v>
      </c>
      <c r="B3" s="4" t="s">
        <v>13</v>
      </c>
      <c r="C3" s="4" t="s">
        <v>62</v>
      </c>
      <c r="D3" s="4" t="s">
        <v>63</v>
      </c>
      <c r="E3" s="4" t="s">
        <v>63</v>
      </c>
      <c r="F3" s="4" t="s">
        <v>64</v>
      </c>
      <c r="G3" s="4" t="s">
        <v>76</v>
      </c>
      <c r="H3" s="4" t="s">
        <v>63</v>
      </c>
      <c r="I3" s="4" t="s">
        <v>77</v>
      </c>
      <c r="J3" s="4" t="s">
        <v>78</v>
      </c>
      <c r="K3" s="4" t="s">
        <v>79</v>
      </c>
      <c r="L3" s="4" t="s">
        <v>69</v>
      </c>
      <c r="M3" s="4" t="s">
        <v>80</v>
      </c>
      <c r="N3" s="4" t="s">
        <v>70</v>
      </c>
      <c r="O3" s="12" t="s">
        <v>81</v>
      </c>
      <c r="P3" s="14"/>
      <c r="Q3" s="12" t="s">
        <v>73</v>
      </c>
      <c r="R3" s="12" t="s">
        <v>82</v>
      </c>
      <c r="S3" s="13" t="str">
        <f aca="false">IF(P3="","",IFERROR(VLOOKUP(P3,Components!$E$2:$H$83,3,FALSE()),"INVALID"))</f>
        <v/>
      </c>
      <c r="T3" s="13" t="str">
        <f aca="false">IF(P3="","",IFERROR(VLOOKUP(P3,Components!$E$2:$H$83,4,FALSE()),"INVALID"))</f>
        <v/>
      </c>
      <c r="U3" s="13" t="str">
        <f aca="false">IF(O3="","",IF(O3="ASSIGN_COMPONENT",IF(P3&lt;&gt;"","OK","CHECK: component required"),IF(O3="HOLD_UNRESOLVED",IF(P3="","OK","CHECK: clear component"),IF(O3="REGISTRY_ISSUE",IF(R3&lt;&gt;"","OK","CHECK: note required"),"CHECK"))))</f>
        <v>OK</v>
      </c>
    </row>
    <row r="4" customFormat="false" ht="36" hidden="false" customHeight="true" outlineLevel="0" collapsed="false">
      <c r="A4" s="4" t="s">
        <v>83</v>
      </c>
      <c r="B4" s="4" t="s">
        <v>13</v>
      </c>
      <c r="C4" s="4" t="s">
        <v>62</v>
      </c>
      <c r="D4" s="4" t="s">
        <v>63</v>
      </c>
      <c r="E4" s="4" t="s">
        <v>63</v>
      </c>
      <c r="F4" s="4" t="s">
        <v>64</v>
      </c>
      <c r="G4" s="4" t="s">
        <v>84</v>
      </c>
      <c r="H4" s="4" t="s">
        <v>63</v>
      </c>
      <c r="I4" s="4" t="s">
        <v>85</v>
      </c>
      <c r="J4" s="4" t="s">
        <v>86</v>
      </c>
      <c r="K4" s="4" t="s">
        <v>87</v>
      </c>
      <c r="L4" s="4" t="s">
        <v>69</v>
      </c>
      <c r="M4" s="4" t="s">
        <v>88</v>
      </c>
      <c r="N4" s="4" t="s">
        <v>70</v>
      </c>
      <c r="O4" s="12" t="s">
        <v>71</v>
      </c>
      <c r="P4" s="12" t="s">
        <v>89</v>
      </c>
      <c r="Q4" s="12" t="s">
        <v>73</v>
      </c>
      <c r="R4" s="12" t="s">
        <v>90</v>
      </c>
      <c r="S4" s="13" t="str">
        <f aca="false">IF(P4="","",IFERROR(VLOOKUP(P4,Components!$E$2:$H$83,3,FALSE()),"INVALID"))</f>
        <v>Selected-fiction / selected-novels omnibus</v>
      </c>
      <c r="T4" s="13" t="str">
        <f aca="false">IF(P4="","",IFERROR(VLOOKUP(P4,Components!$E$2:$H$83,4,FALSE()),"INVALID"))</f>
        <v>SUCCESSOR</v>
      </c>
      <c r="U4" s="13" t="str">
        <f aca="false">IF(O4="","",IF(O4="ASSIGN_COMPONENT",IF(P4&lt;&gt;"","OK","CHECK: component required"),IF(O4="HOLD_UNRESOLVED",IF(P4="","OK","CHECK: clear component"),IF(O4="REGISTRY_ISSUE",IF(R4&lt;&gt;"","OK","CHECK: note required"),"CHECK"))))</f>
        <v>OK</v>
      </c>
    </row>
    <row r="5" customFormat="false" ht="36" hidden="false" customHeight="true" outlineLevel="0" collapsed="false">
      <c r="A5" s="4" t="s">
        <v>91</v>
      </c>
      <c r="B5" s="4" t="s">
        <v>13</v>
      </c>
      <c r="C5" s="4" t="s">
        <v>62</v>
      </c>
      <c r="D5" s="4" t="s">
        <v>63</v>
      </c>
      <c r="E5" s="4" t="s">
        <v>63</v>
      </c>
      <c r="F5" s="4" t="s">
        <v>64</v>
      </c>
      <c r="G5" s="4" t="s">
        <v>92</v>
      </c>
      <c r="H5" s="4" t="s">
        <v>63</v>
      </c>
      <c r="I5" s="4" t="s">
        <v>93</v>
      </c>
      <c r="J5" s="4" t="s">
        <v>94</v>
      </c>
      <c r="K5" s="4" t="s">
        <v>95</v>
      </c>
      <c r="L5" s="4" t="s">
        <v>69</v>
      </c>
      <c r="M5" s="4" t="s">
        <v>96</v>
      </c>
      <c r="N5" s="4" t="s">
        <v>70</v>
      </c>
      <c r="O5" s="12" t="s">
        <v>97</v>
      </c>
      <c r="P5" s="14"/>
      <c r="Q5" s="12" t="s">
        <v>73</v>
      </c>
      <c r="R5" s="12" t="s">
        <v>98</v>
      </c>
      <c r="S5" s="13" t="str">
        <f aca="false">IF(P5="","",IFERROR(VLOOKUP(P5,Components!$E$2:$H$83,3,FALSE()),"INVALID"))</f>
        <v/>
      </c>
      <c r="T5" s="13" t="str">
        <f aca="false">IF(P5="","",IFERROR(VLOOKUP(P5,Components!$E$2:$H$83,4,FALSE()),"INVALID"))</f>
        <v/>
      </c>
      <c r="U5" s="13" t="str">
        <f aca="false">IF(O5="","",IF(O5="ASSIGN_COMPONENT",IF(P5&lt;&gt;"","OK","CHECK: component required"),IF(O5="HOLD_UNRESOLVED",IF(P5="","OK","CHECK: clear component"),IF(O5="REGISTRY_ISSUE",IF(R5&lt;&gt;"","OK","CHECK: note required"),"CHECK"))))</f>
        <v>OK</v>
      </c>
    </row>
    <row r="6" customFormat="false" ht="36" hidden="false" customHeight="true" outlineLevel="0" collapsed="false">
      <c r="A6" s="4" t="s">
        <v>99</v>
      </c>
      <c r="B6" s="4" t="s">
        <v>13</v>
      </c>
      <c r="C6" s="4" t="s">
        <v>62</v>
      </c>
      <c r="D6" s="4" t="s">
        <v>63</v>
      </c>
      <c r="E6" s="4" t="s">
        <v>63</v>
      </c>
      <c r="F6" s="4" t="s">
        <v>64</v>
      </c>
      <c r="G6" s="4" t="s">
        <v>100</v>
      </c>
      <c r="H6" s="4" t="s">
        <v>63</v>
      </c>
      <c r="I6" s="4"/>
      <c r="J6" s="4" t="s">
        <v>101</v>
      </c>
      <c r="K6" s="4" t="s">
        <v>102</v>
      </c>
      <c r="L6" s="4" t="s">
        <v>69</v>
      </c>
      <c r="M6" s="4" t="s">
        <v>103</v>
      </c>
      <c r="N6" s="4" t="s">
        <v>70</v>
      </c>
      <c r="O6" s="12" t="s">
        <v>81</v>
      </c>
      <c r="P6" s="14"/>
      <c r="Q6" s="12" t="s">
        <v>73</v>
      </c>
      <c r="R6" s="12" t="s">
        <v>104</v>
      </c>
      <c r="S6" s="13" t="str">
        <f aca="false">IF(P6="","",IFERROR(VLOOKUP(P6,Components!$E$2:$H$83,3,FALSE()),"INVALID"))</f>
        <v/>
      </c>
      <c r="T6" s="13" t="str">
        <f aca="false">IF(P6="","",IFERROR(VLOOKUP(P6,Components!$E$2:$H$83,4,FALSE()),"INVALID"))</f>
        <v/>
      </c>
      <c r="U6" s="13" t="str">
        <f aca="false">IF(O6="","",IF(O6="ASSIGN_COMPONENT",IF(P6&lt;&gt;"","OK","CHECK: component required"),IF(O6="HOLD_UNRESOLVED",IF(P6="","OK","CHECK: clear component"),IF(O6="REGISTRY_ISSUE",IF(R6&lt;&gt;"","OK","CHECK: note required"),"CHECK"))))</f>
        <v>OK</v>
      </c>
    </row>
    <row r="7" customFormat="false" ht="36" hidden="false" customHeight="true" outlineLevel="0" collapsed="false">
      <c r="A7" s="4" t="s">
        <v>105</v>
      </c>
      <c r="B7" s="4" t="s">
        <v>15</v>
      </c>
      <c r="C7" s="4" t="s">
        <v>106</v>
      </c>
      <c r="D7" s="4" t="s">
        <v>107</v>
      </c>
      <c r="E7" s="4" t="s">
        <v>107</v>
      </c>
      <c r="F7" s="4" t="s">
        <v>108</v>
      </c>
      <c r="G7" s="4" t="s">
        <v>109</v>
      </c>
      <c r="H7" s="4" t="s">
        <v>107</v>
      </c>
      <c r="I7" s="4"/>
      <c r="J7" s="4" t="s">
        <v>110</v>
      </c>
      <c r="K7" s="4" t="s">
        <v>111</v>
      </c>
      <c r="L7" s="4"/>
      <c r="M7" s="4"/>
      <c r="N7" s="4" t="s">
        <v>70</v>
      </c>
      <c r="O7" s="12" t="s">
        <v>81</v>
      </c>
      <c r="P7" s="14"/>
      <c r="Q7" s="12" t="s">
        <v>73</v>
      </c>
      <c r="R7" s="12" t="s">
        <v>112</v>
      </c>
      <c r="S7" s="13" t="str">
        <f aca="false">IF(P7="","",IFERROR(VLOOKUP(P7,Components!$E$2:$H$83,3,FALSE()),"INVALID"))</f>
        <v/>
      </c>
      <c r="T7" s="13" t="str">
        <f aca="false">IF(P7="","",IFERROR(VLOOKUP(P7,Components!$E$2:$H$83,4,FALSE()),"INVALID"))</f>
        <v/>
      </c>
      <c r="U7" s="13" t="str">
        <f aca="false">IF(O7="","",IF(O7="ASSIGN_COMPONENT",IF(P7&lt;&gt;"","OK","CHECK: component required"),IF(O7="HOLD_UNRESOLVED",IF(P7="","OK","CHECK: clear component"),IF(O7="REGISTRY_ISSUE",IF(R7&lt;&gt;"","OK","CHECK: note required"),"CHECK"))))</f>
        <v>OK</v>
      </c>
    </row>
    <row r="8" customFormat="false" ht="36" hidden="false" customHeight="true" outlineLevel="0" collapsed="false">
      <c r="A8" s="4" t="s">
        <v>113</v>
      </c>
      <c r="B8" s="4" t="s">
        <v>15</v>
      </c>
      <c r="C8" s="4" t="s">
        <v>106</v>
      </c>
      <c r="D8" s="4" t="s">
        <v>107</v>
      </c>
      <c r="E8" s="4" t="s">
        <v>107</v>
      </c>
      <c r="F8" s="4" t="s">
        <v>108</v>
      </c>
      <c r="G8" s="4" t="s">
        <v>114</v>
      </c>
      <c r="H8" s="4" t="s">
        <v>107</v>
      </c>
      <c r="I8" s="4" t="s">
        <v>115</v>
      </c>
      <c r="J8" s="4" t="s">
        <v>116</v>
      </c>
      <c r="K8" s="4" t="s">
        <v>111</v>
      </c>
      <c r="L8" s="4" t="s">
        <v>117</v>
      </c>
      <c r="M8" s="4" t="s">
        <v>118</v>
      </c>
      <c r="N8" s="4" t="s">
        <v>70</v>
      </c>
      <c r="O8" s="12" t="s">
        <v>71</v>
      </c>
      <c r="P8" s="12" t="s">
        <v>119</v>
      </c>
      <c r="Q8" s="12" t="s">
        <v>70</v>
      </c>
      <c r="R8" s="12" t="s">
        <v>120</v>
      </c>
      <c r="S8" s="13" t="str">
        <f aca="false">IF(P8="","",IFERROR(VLOOKUP(P8,Components!$E$2:$H$83,3,FALSE()),"INVALID"))</f>
        <v>On Antecedent Causes</v>
      </c>
      <c r="T8" s="13" t="str">
        <f aca="false">IF(P8="","",IFERROR(VLOOKUP(P8,Components!$E$2:$H$83,4,FALSE()),"INVALID"))</f>
        <v>SUCCESSOR</v>
      </c>
      <c r="U8" s="13" t="str">
        <f aca="false">IF(O8="","",IF(O8="ASSIGN_COMPONENT",IF(P8&lt;&gt;"","OK","CHECK: component required"),IF(O8="HOLD_UNRESOLVED",IF(P8="","OK","CHECK: clear component"),IF(O8="REGISTRY_ISSUE",IF(R8&lt;&gt;"","OK","CHECK: note required"),"CHECK"))))</f>
        <v>OK</v>
      </c>
    </row>
    <row r="9" customFormat="false" ht="36" hidden="false" customHeight="true" outlineLevel="0" collapsed="false">
      <c r="A9" s="4" t="s">
        <v>121</v>
      </c>
      <c r="B9" s="4" t="s">
        <v>17</v>
      </c>
      <c r="C9" s="4" t="s">
        <v>122</v>
      </c>
      <c r="D9" s="4" t="s">
        <v>123</v>
      </c>
      <c r="E9" s="4" t="s">
        <v>124</v>
      </c>
      <c r="F9" s="4" t="s">
        <v>125</v>
      </c>
      <c r="G9" s="4" t="s">
        <v>126</v>
      </c>
      <c r="H9" s="4" t="s">
        <v>127</v>
      </c>
      <c r="I9" s="4"/>
      <c r="J9" s="4" t="s">
        <v>128</v>
      </c>
      <c r="K9" s="4" t="s">
        <v>129</v>
      </c>
      <c r="L9" s="4" t="s">
        <v>130</v>
      </c>
      <c r="M9" s="4" t="s">
        <v>131</v>
      </c>
      <c r="N9" s="4" t="s">
        <v>70</v>
      </c>
      <c r="O9" s="12" t="s">
        <v>71</v>
      </c>
      <c r="P9" s="12" t="s">
        <v>132</v>
      </c>
      <c r="Q9" s="12" t="s">
        <v>73</v>
      </c>
      <c r="R9" s="12" t="s">
        <v>133</v>
      </c>
      <c r="S9" s="13" t="str">
        <f aca="false">IF(P9="","",IFERROR(VLOOKUP(P9,Components!$E$2:$H$83,3,FALSE()),"INVALID"))</f>
        <v>Selected Poems</v>
      </c>
      <c r="T9" s="13" t="str">
        <f aca="false">IF(P9="","",IFERROR(VLOOKUP(P9,Components!$E$2:$H$83,4,FALSE()),"INVALID"))</f>
        <v>SUCCESSOR</v>
      </c>
      <c r="U9" s="13" t="str">
        <f aca="false">IF(O9="","",IF(O9="ASSIGN_COMPONENT",IF(P9&lt;&gt;"","OK","CHECK: component required"),IF(O9="HOLD_UNRESOLVED",IF(P9="","OK","CHECK: clear component"),IF(O9="REGISTRY_ISSUE",IF(R9&lt;&gt;"","OK","CHECK: note required"),"CHECK"))))</f>
        <v>OK</v>
      </c>
    </row>
    <row r="10" customFormat="false" ht="36" hidden="false" customHeight="true" outlineLevel="0" collapsed="false">
      <c r="A10" s="4" t="s">
        <v>134</v>
      </c>
      <c r="B10" s="4" t="s">
        <v>17</v>
      </c>
      <c r="C10" s="4" t="s">
        <v>122</v>
      </c>
      <c r="D10" s="4" t="s">
        <v>123</v>
      </c>
      <c r="E10" s="4" t="s">
        <v>124</v>
      </c>
      <c r="F10" s="4" t="s">
        <v>125</v>
      </c>
      <c r="G10" s="4" t="s">
        <v>135</v>
      </c>
      <c r="H10" s="4" t="s">
        <v>127</v>
      </c>
      <c r="I10" s="4"/>
      <c r="J10" s="4" t="s">
        <v>128</v>
      </c>
      <c r="K10" s="4" t="s">
        <v>129</v>
      </c>
      <c r="L10" s="4" t="s">
        <v>130</v>
      </c>
      <c r="M10" s="4" t="s">
        <v>131</v>
      </c>
      <c r="N10" s="4" t="s">
        <v>70</v>
      </c>
      <c r="O10" s="12" t="s">
        <v>71</v>
      </c>
      <c r="P10" s="12" t="s">
        <v>132</v>
      </c>
      <c r="Q10" s="12" t="s">
        <v>73</v>
      </c>
      <c r="R10" s="12" t="s">
        <v>133</v>
      </c>
      <c r="S10" s="13" t="str">
        <f aca="false">IF(P10="","",IFERROR(VLOOKUP(P10,Components!$E$2:$H$83,3,FALSE()),"INVALID"))</f>
        <v>Selected Poems</v>
      </c>
      <c r="T10" s="13" t="str">
        <f aca="false">IF(P10="","",IFERROR(VLOOKUP(P10,Components!$E$2:$H$83,4,FALSE()),"INVALID"))</f>
        <v>SUCCESSOR</v>
      </c>
      <c r="U10" s="13" t="str">
        <f aca="false">IF(O10="","",IF(O10="ASSIGN_COMPONENT",IF(P10&lt;&gt;"","OK","CHECK: component required"),IF(O10="HOLD_UNRESOLVED",IF(P10="","OK","CHECK: clear component"),IF(O10="REGISTRY_ISSUE",IF(R10&lt;&gt;"","OK","CHECK: note required"),"CHECK"))))</f>
        <v>OK</v>
      </c>
    </row>
    <row r="11" customFormat="false" ht="36" hidden="false" customHeight="true" outlineLevel="0" collapsed="false">
      <c r="A11" s="4" t="s">
        <v>136</v>
      </c>
      <c r="B11" s="4" t="s">
        <v>17</v>
      </c>
      <c r="C11" s="4" t="s">
        <v>122</v>
      </c>
      <c r="D11" s="4" t="s">
        <v>123</v>
      </c>
      <c r="E11" s="4" t="s">
        <v>124</v>
      </c>
      <c r="F11" s="4" t="s">
        <v>125</v>
      </c>
      <c r="G11" s="4" t="s">
        <v>137</v>
      </c>
      <c r="H11" s="4" t="s">
        <v>123</v>
      </c>
      <c r="I11" s="4" t="s">
        <v>138</v>
      </c>
      <c r="J11" s="4" t="s">
        <v>139</v>
      </c>
      <c r="K11" s="4" t="s">
        <v>140</v>
      </c>
      <c r="L11" s="4" t="s">
        <v>130</v>
      </c>
      <c r="M11" s="4" t="s">
        <v>141</v>
      </c>
      <c r="N11" s="4" t="s">
        <v>70</v>
      </c>
      <c r="O11" s="12" t="s">
        <v>71</v>
      </c>
      <c r="P11" s="12" t="s">
        <v>132</v>
      </c>
      <c r="Q11" s="12" t="s">
        <v>70</v>
      </c>
      <c r="R11" s="12" t="s">
        <v>142</v>
      </c>
      <c r="S11" s="13" t="str">
        <f aca="false">IF(P11="","",IFERROR(VLOOKUP(P11,Components!$E$2:$H$83,3,FALSE()),"INVALID"))</f>
        <v>Selected Poems</v>
      </c>
      <c r="T11" s="13" t="str">
        <f aca="false">IF(P11="","",IFERROR(VLOOKUP(P11,Components!$E$2:$H$83,4,FALSE()),"INVALID"))</f>
        <v>SUCCESSOR</v>
      </c>
      <c r="U11" s="13" t="str">
        <f aca="false">IF(O11="","",IF(O11="ASSIGN_COMPONENT",IF(P11&lt;&gt;"","OK","CHECK: component required"),IF(O11="HOLD_UNRESOLVED",IF(P11="","OK","CHECK: clear component"),IF(O11="REGISTRY_ISSUE",IF(R11&lt;&gt;"","OK","CHECK: note required"),"CHECK"))))</f>
        <v>OK</v>
      </c>
    </row>
    <row r="12" customFormat="false" ht="36" hidden="false" customHeight="true" outlineLevel="0" collapsed="false">
      <c r="A12" s="4" t="s">
        <v>143</v>
      </c>
      <c r="B12" s="4" t="s">
        <v>17</v>
      </c>
      <c r="C12" s="4" t="s">
        <v>122</v>
      </c>
      <c r="D12" s="4" t="s">
        <v>123</v>
      </c>
      <c r="E12" s="4" t="s">
        <v>124</v>
      </c>
      <c r="F12" s="4" t="s">
        <v>125</v>
      </c>
      <c r="G12" s="4" t="s">
        <v>144</v>
      </c>
      <c r="H12" s="4" t="s">
        <v>124</v>
      </c>
      <c r="I12" s="4" t="s">
        <v>145</v>
      </c>
      <c r="J12" s="4" t="s">
        <v>146</v>
      </c>
      <c r="K12" s="4" t="s">
        <v>147</v>
      </c>
      <c r="L12" s="4" t="s">
        <v>130</v>
      </c>
      <c r="M12" s="4" t="s">
        <v>148</v>
      </c>
      <c r="N12" s="4" t="s">
        <v>70</v>
      </c>
      <c r="O12" s="12" t="s">
        <v>71</v>
      </c>
      <c r="P12" s="12" t="s">
        <v>132</v>
      </c>
      <c r="Q12" s="12" t="s">
        <v>70</v>
      </c>
      <c r="R12" s="12" t="s">
        <v>149</v>
      </c>
      <c r="S12" s="13" t="str">
        <f aca="false">IF(P12="","",IFERROR(VLOOKUP(P12,Components!$E$2:$H$83,3,FALSE()),"INVALID"))</f>
        <v>Selected Poems</v>
      </c>
      <c r="T12" s="13" t="str">
        <f aca="false">IF(P12="","",IFERROR(VLOOKUP(P12,Components!$E$2:$H$83,4,FALSE()),"INVALID"))</f>
        <v>SUCCESSOR</v>
      </c>
      <c r="U12" s="13" t="str">
        <f aca="false">IF(O12="","",IF(O12="ASSIGN_COMPONENT",IF(P12&lt;&gt;"","OK","CHECK: component required"),IF(O12="HOLD_UNRESOLVED",IF(P12="","OK","CHECK: clear component"),IF(O12="REGISTRY_ISSUE",IF(R12&lt;&gt;"","OK","CHECK: note required"),"CHECK"))))</f>
        <v>OK</v>
      </c>
    </row>
    <row r="13" customFormat="false" ht="36" hidden="false" customHeight="true" outlineLevel="0" collapsed="false">
      <c r="A13" s="4" t="s">
        <v>150</v>
      </c>
      <c r="B13" s="4" t="s">
        <v>17</v>
      </c>
      <c r="C13" s="4" t="s">
        <v>122</v>
      </c>
      <c r="D13" s="4" t="s">
        <v>123</v>
      </c>
      <c r="E13" s="4" t="s">
        <v>124</v>
      </c>
      <c r="F13" s="4" t="s">
        <v>125</v>
      </c>
      <c r="G13" s="4" t="s">
        <v>151</v>
      </c>
      <c r="H13" s="4" t="s">
        <v>123</v>
      </c>
      <c r="I13" s="4" t="s">
        <v>152</v>
      </c>
      <c r="J13" s="4" t="s">
        <v>153</v>
      </c>
      <c r="K13" s="4" t="s">
        <v>154</v>
      </c>
      <c r="L13" s="4" t="s">
        <v>130</v>
      </c>
      <c r="M13" s="4" t="s">
        <v>155</v>
      </c>
      <c r="N13" s="4" t="s">
        <v>70</v>
      </c>
      <c r="O13" s="12" t="s">
        <v>97</v>
      </c>
      <c r="P13" s="14"/>
      <c r="Q13" s="12" t="s">
        <v>73</v>
      </c>
      <c r="R13" s="12" t="s">
        <v>156</v>
      </c>
      <c r="S13" s="13" t="str">
        <f aca="false">IF(P13="","",IFERROR(VLOOKUP(P13,Components!$E$2:$H$83,3,FALSE()),"INVALID"))</f>
        <v/>
      </c>
      <c r="T13" s="13" t="str">
        <f aca="false">IF(P13="","",IFERROR(VLOOKUP(P13,Components!$E$2:$H$83,4,FALSE()),"INVALID"))</f>
        <v/>
      </c>
      <c r="U13" s="13" t="str">
        <f aca="false">IF(O13="","",IF(O13="ASSIGN_COMPONENT",IF(P13&lt;&gt;"","OK","CHECK: component required"),IF(O13="HOLD_UNRESOLVED",IF(P13="","OK","CHECK: clear component"),IF(O13="REGISTRY_ISSUE",IF(R13&lt;&gt;"","OK","CHECK: note required"),"CHECK"))))</f>
        <v>OK</v>
      </c>
    </row>
    <row r="14" customFormat="false" ht="36" hidden="false" customHeight="true" outlineLevel="0" collapsed="false">
      <c r="A14" s="4" t="s">
        <v>157</v>
      </c>
      <c r="B14" s="4" t="s">
        <v>17</v>
      </c>
      <c r="C14" s="4" t="s">
        <v>122</v>
      </c>
      <c r="D14" s="4" t="s">
        <v>123</v>
      </c>
      <c r="E14" s="4" t="s">
        <v>124</v>
      </c>
      <c r="F14" s="4" t="s">
        <v>125</v>
      </c>
      <c r="G14" s="4" t="s">
        <v>158</v>
      </c>
      <c r="H14" s="4" t="s">
        <v>123</v>
      </c>
      <c r="I14" s="4" t="s">
        <v>159</v>
      </c>
      <c r="J14" s="4" t="s">
        <v>160</v>
      </c>
      <c r="K14" s="4" t="s">
        <v>161</v>
      </c>
      <c r="L14" s="4" t="s">
        <v>130</v>
      </c>
      <c r="M14" s="4" t="s">
        <v>162</v>
      </c>
      <c r="N14" s="4" t="s">
        <v>70</v>
      </c>
      <c r="O14" s="12" t="s">
        <v>71</v>
      </c>
      <c r="P14" s="12" t="s">
        <v>163</v>
      </c>
      <c r="Q14" s="12" t="s">
        <v>70</v>
      </c>
      <c r="R14" s="12" t="s">
        <v>164</v>
      </c>
      <c r="S14" s="13" t="str">
        <f aca="false">IF(P14="","",IFERROR(VLOOKUP(P14,Components!$E$2:$H$83,3,FALSE()),"INVALID"))</f>
        <v>Rare-book catalogue</v>
      </c>
      <c r="T14" s="13" t="str">
        <f aca="false">IF(P14="","",IFERROR(VLOOKUP(P14,Components!$E$2:$H$83,4,FALSE()),"INVALID"))</f>
        <v>EXCLUDE_APPARATUS</v>
      </c>
      <c r="U14" s="13" t="str">
        <f aca="false">IF(O14="","",IF(O14="ASSIGN_COMPONENT",IF(P14&lt;&gt;"","OK","CHECK: component required"),IF(O14="HOLD_UNRESOLVED",IF(P14="","OK","CHECK: clear component"),IF(O14="REGISTRY_ISSUE",IF(R14&lt;&gt;"","OK","CHECK: note required"),"CHECK"))))</f>
        <v>OK</v>
      </c>
    </row>
    <row r="15" customFormat="false" ht="36" hidden="false" customHeight="true" outlineLevel="0" collapsed="false">
      <c r="A15" s="4" t="s">
        <v>165</v>
      </c>
      <c r="B15" s="4" t="s">
        <v>17</v>
      </c>
      <c r="C15" s="4" t="s">
        <v>122</v>
      </c>
      <c r="D15" s="4" t="s">
        <v>123</v>
      </c>
      <c r="E15" s="4" t="s">
        <v>124</v>
      </c>
      <c r="F15" s="4" t="s">
        <v>125</v>
      </c>
      <c r="G15" s="4" t="s">
        <v>166</v>
      </c>
      <c r="H15" s="4" t="s">
        <v>167</v>
      </c>
      <c r="I15" s="4" t="s">
        <v>168</v>
      </c>
      <c r="J15" s="4" t="s">
        <v>169</v>
      </c>
      <c r="K15" s="4" t="s">
        <v>170</v>
      </c>
      <c r="L15" s="4" t="s">
        <v>130</v>
      </c>
      <c r="M15" s="4"/>
      <c r="N15" s="4" t="s">
        <v>70</v>
      </c>
      <c r="O15" s="12" t="s">
        <v>71</v>
      </c>
      <c r="P15" s="12" t="s">
        <v>171</v>
      </c>
      <c r="Q15" s="12" t="s">
        <v>70</v>
      </c>
      <c r="R15" s="12" t="s">
        <v>172</v>
      </c>
      <c r="S15" s="13" t="str">
        <f aca="false">IF(P15="","",IFERROR(VLOOKUP(P15,Components!$E$2:$H$83,3,FALSE()),"INVALID"))</f>
        <v>Novel omnibus</v>
      </c>
      <c r="T15" s="13" t="str">
        <f aca="false">IF(P15="","",IFERROR(VLOOKUP(P15,Components!$E$2:$H$83,4,FALSE()),"INVALID"))</f>
        <v>SUCCESSOR</v>
      </c>
      <c r="U15" s="13" t="str">
        <f aca="false">IF(O15="","",IF(O15="ASSIGN_COMPONENT",IF(P15&lt;&gt;"","OK","CHECK: component required"),IF(O15="HOLD_UNRESOLVED",IF(P15="","OK","CHECK: clear component"),IF(O15="REGISTRY_ISSUE",IF(R15&lt;&gt;"","OK","CHECK: note required"),"CHECK"))))</f>
        <v>OK</v>
      </c>
    </row>
    <row r="16" customFormat="false" ht="36" hidden="false" customHeight="true" outlineLevel="0" collapsed="false">
      <c r="A16" s="4" t="s">
        <v>173</v>
      </c>
      <c r="B16" s="4" t="s">
        <v>19</v>
      </c>
      <c r="C16" s="4" t="s">
        <v>174</v>
      </c>
      <c r="D16" s="4" t="s">
        <v>175</v>
      </c>
      <c r="E16" s="4" t="s">
        <v>175</v>
      </c>
      <c r="F16" s="4" t="s">
        <v>176</v>
      </c>
      <c r="G16" s="4" t="s">
        <v>177</v>
      </c>
      <c r="H16" s="4" t="s">
        <v>175</v>
      </c>
      <c r="I16" s="4" t="s">
        <v>178</v>
      </c>
      <c r="J16" s="4"/>
      <c r="K16" s="4" t="s">
        <v>179</v>
      </c>
      <c r="L16" s="4" t="s">
        <v>180</v>
      </c>
      <c r="M16" s="4" t="s">
        <v>148</v>
      </c>
      <c r="N16" s="4" t="s">
        <v>73</v>
      </c>
      <c r="O16" s="12" t="s">
        <v>71</v>
      </c>
      <c r="P16" s="12" t="s">
        <v>181</v>
      </c>
      <c r="Q16" s="12" t="s">
        <v>73</v>
      </c>
      <c r="R16" s="12" t="s">
        <v>182</v>
      </c>
      <c r="S16" s="13" t="str">
        <f aca="false">IF(P16="","",IFERROR(VLOOKUP(P16,Components!$E$2:$H$83,3,FALSE()),"INVALID"))</f>
        <v>Passages from his writings</v>
      </c>
      <c r="T16" s="13" t="str">
        <f aca="false">IF(P16="","",IFERROR(VLOOKUP(P16,Components!$E$2:$H$83,4,FALSE()),"INVALID"))</f>
        <v>SUCCESSOR</v>
      </c>
      <c r="U16" s="13" t="str">
        <f aca="false">IF(O16="","",IF(O16="ASSIGN_COMPONENT",IF(P16&lt;&gt;"","OK","CHECK: component required"),IF(O16="HOLD_UNRESOLVED",IF(P16="","OK","CHECK: clear component"),IF(O16="REGISTRY_ISSUE",IF(R16&lt;&gt;"","OK","CHECK: note required"),"CHECK"))))</f>
        <v>OK</v>
      </c>
    </row>
    <row r="17" customFormat="false" ht="36" hidden="false" customHeight="true" outlineLevel="0" collapsed="false">
      <c r="A17" s="4" t="s">
        <v>183</v>
      </c>
      <c r="B17" s="4" t="s">
        <v>19</v>
      </c>
      <c r="C17" s="4" t="s">
        <v>174</v>
      </c>
      <c r="D17" s="4" t="s">
        <v>175</v>
      </c>
      <c r="E17" s="4" t="s">
        <v>175</v>
      </c>
      <c r="F17" s="4" t="s">
        <v>176</v>
      </c>
      <c r="G17" s="4" t="s">
        <v>184</v>
      </c>
      <c r="H17" s="4" t="s">
        <v>185</v>
      </c>
      <c r="I17" s="4"/>
      <c r="J17" s="4" t="s">
        <v>186</v>
      </c>
      <c r="K17" s="4" t="s">
        <v>187</v>
      </c>
      <c r="L17" s="4" t="s">
        <v>180</v>
      </c>
      <c r="M17" s="4" t="s">
        <v>131</v>
      </c>
      <c r="N17" s="4" t="s">
        <v>73</v>
      </c>
      <c r="O17" s="12" t="s">
        <v>81</v>
      </c>
      <c r="P17" s="14"/>
      <c r="Q17" s="12" t="s">
        <v>73</v>
      </c>
      <c r="R17" s="12" t="s">
        <v>188</v>
      </c>
      <c r="S17" s="13" t="str">
        <f aca="false">IF(P17="","",IFERROR(VLOOKUP(P17,Components!$E$2:$H$83,3,FALSE()),"INVALID"))</f>
        <v/>
      </c>
      <c r="T17" s="13" t="str">
        <f aca="false">IF(P17="","",IFERROR(VLOOKUP(P17,Components!$E$2:$H$83,4,FALSE()),"INVALID"))</f>
        <v/>
      </c>
      <c r="U17" s="13" t="str">
        <f aca="false">IF(O17="","",IF(O17="ASSIGN_COMPONENT",IF(P17&lt;&gt;"","OK","CHECK: component required"),IF(O17="HOLD_UNRESOLVED",IF(P17="","OK","CHECK: clear component"),IF(O17="REGISTRY_ISSUE",IF(R17&lt;&gt;"","OK","CHECK: note required"),"CHECK"))))</f>
        <v>OK</v>
      </c>
    </row>
    <row r="18" customFormat="false" ht="36" hidden="false" customHeight="true" outlineLevel="0" collapsed="false">
      <c r="A18" s="4" t="s">
        <v>189</v>
      </c>
      <c r="B18" s="4" t="s">
        <v>19</v>
      </c>
      <c r="C18" s="4" t="s">
        <v>174</v>
      </c>
      <c r="D18" s="4" t="s">
        <v>175</v>
      </c>
      <c r="E18" s="4" t="s">
        <v>175</v>
      </c>
      <c r="F18" s="4" t="s">
        <v>176</v>
      </c>
      <c r="G18" s="4" t="s">
        <v>190</v>
      </c>
      <c r="H18" s="4" t="s">
        <v>175</v>
      </c>
      <c r="I18" s="4" t="s">
        <v>191</v>
      </c>
      <c r="J18" s="4" t="s">
        <v>139</v>
      </c>
      <c r="K18" s="4" t="s">
        <v>192</v>
      </c>
      <c r="L18" s="4" t="s">
        <v>180</v>
      </c>
      <c r="M18" s="4" t="s">
        <v>193</v>
      </c>
      <c r="N18" s="4" t="s">
        <v>73</v>
      </c>
      <c r="O18" s="12" t="s">
        <v>71</v>
      </c>
      <c r="P18" s="12" t="s">
        <v>194</v>
      </c>
      <c r="Q18" s="12" t="s">
        <v>70</v>
      </c>
      <c r="R18" s="12" t="s">
        <v>195</v>
      </c>
      <c r="S18" s="13" t="str">
        <f aca="false">IF(P18="","",IFERROR(VLOOKUP(P18,Components!$E$2:$H$83,3,FALSE()),"INVALID"))</f>
        <v>Essays and journals</v>
      </c>
      <c r="T18" s="13" t="str">
        <f aca="false">IF(P18="","",IFERROR(VLOOKUP(P18,Components!$E$2:$H$83,4,FALSE()),"INVALID"))</f>
        <v>SUCCESSOR</v>
      </c>
      <c r="U18" s="13" t="str">
        <f aca="false">IF(O18="","",IF(O18="ASSIGN_COMPONENT",IF(P18&lt;&gt;"","OK","CHECK: component required"),IF(O18="HOLD_UNRESOLVED",IF(P18="","OK","CHECK: clear component"),IF(O18="REGISTRY_ISSUE",IF(R18&lt;&gt;"","OK","CHECK: note required"),"CHECK"))))</f>
        <v>OK</v>
      </c>
    </row>
    <row r="19" customFormat="false" ht="36" hidden="false" customHeight="true" outlineLevel="0" collapsed="false">
      <c r="A19" s="4" t="s">
        <v>196</v>
      </c>
      <c r="B19" s="4" t="s">
        <v>21</v>
      </c>
      <c r="C19" s="4" t="s">
        <v>197</v>
      </c>
      <c r="D19" s="4" t="s">
        <v>198</v>
      </c>
      <c r="E19" s="4" t="s">
        <v>199</v>
      </c>
      <c r="F19" s="4" t="s">
        <v>200</v>
      </c>
      <c r="G19" s="4" t="s">
        <v>201</v>
      </c>
      <c r="H19" s="4" t="s">
        <v>198</v>
      </c>
      <c r="I19" s="4" t="s">
        <v>202</v>
      </c>
      <c r="J19" s="4" t="s">
        <v>203</v>
      </c>
      <c r="K19" s="4" t="s">
        <v>204</v>
      </c>
      <c r="L19" s="4" t="s">
        <v>205</v>
      </c>
      <c r="M19" s="4"/>
      <c r="N19" s="4" t="s">
        <v>73</v>
      </c>
      <c r="O19" s="12" t="s">
        <v>71</v>
      </c>
      <c r="P19" s="12" t="s">
        <v>206</v>
      </c>
      <c r="Q19" s="12" t="s">
        <v>70</v>
      </c>
      <c r="R19" s="12" t="s">
        <v>207</v>
      </c>
      <c r="S19" s="13" t="str">
        <f aca="false">IF(P19="","",IFERROR(VLOOKUP(P19,Components!$E$2:$H$83,3,FALSE()),"INVALID"))</f>
        <v>Poetry and prose</v>
      </c>
      <c r="T19" s="13" t="str">
        <f aca="false">IF(P19="","",IFERROR(VLOOKUP(P19,Components!$E$2:$H$83,4,FALSE()),"INVALID"))</f>
        <v>SUCCESSOR</v>
      </c>
      <c r="U19" s="13" t="str">
        <f aca="false">IF(O19="","",IF(O19="ASSIGN_COMPONENT",IF(P19&lt;&gt;"","OK","CHECK: component required"),IF(O19="HOLD_UNRESOLVED",IF(P19="","OK","CHECK: clear component"),IF(O19="REGISTRY_ISSUE",IF(R19&lt;&gt;"","OK","CHECK: note required"),"CHECK"))))</f>
        <v>OK</v>
      </c>
    </row>
    <row r="20" customFormat="false" ht="36" hidden="false" customHeight="true" outlineLevel="0" collapsed="false">
      <c r="A20" s="4" t="s">
        <v>208</v>
      </c>
      <c r="B20" s="4" t="s">
        <v>21</v>
      </c>
      <c r="C20" s="4" t="s">
        <v>197</v>
      </c>
      <c r="D20" s="4" t="s">
        <v>198</v>
      </c>
      <c r="E20" s="4" t="s">
        <v>199</v>
      </c>
      <c r="F20" s="4" t="s">
        <v>200</v>
      </c>
      <c r="G20" s="4" t="s">
        <v>209</v>
      </c>
      <c r="H20" s="4" t="s">
        <v>198</v>
      </c>
      <c r="I20" s="4" t="s">
        <v>138</v>
      </c>
      <c r="J20" s="4" t="s">
        <v>210</v>
      </c>
      <c r="K20" s="4" t="s">
        <v>211</v>
      </c>
      <c r="L20" s="4" t="s">
        <v>205</v>
      </c>
      <c r="M20" s="4" t="s">
        <v>212</v>
      </c>
      <c r="N20" s="4" t="s">
        <v>73</v>
      </c>
      <c r="O20" s="12" t="s">
        <v>97</v>
      </c>
      <c r="P20" s="14"/>
      <c r="Q20" s="12" t="s">
        <v>73</v>
      </c>
      <c r="R20" s="12" t="s">
        <v>213</v>
      </c>
      <c r="S20" s="13" t="str">
        <f aca="false">IF(P20="","",IFERROR(VLOOKUP(P20,Components!$E$2:$H$83,3,FALSE()),"INVALID"))</f>
        <v/>
      </c>
      <c r="T20" s="13" t="str">
        <f aca="false">IF(P20="","",IFERROR(VLOOKUP(P20,Components!$E$2:$H$83,4,FALSE()),"INVALID"))</f>
        <v/>
      </c>
      <c r="U20" s="13" t="str">
        <f aca="false">IF(O20="","",IF(O20="ASSIGN_COMPONENT",IF(P20&lt;&gt;"","OK","CHECK: component required"),IF(O20="HOLD_UNRESOLVED",IF(P20="","OK","CHECK: clear component"),IF(O20="REGISTRY_ISSUE",IF(R20&lt;&gt;"","OK","CHECK: note required"),"CHECK"))))</f>
        <v>OK</v>
      </c>
    </row>
    <row r="21" customFormat="false" ht="36" hidden="false" customHeight="true" outlineLevel="0" collapsed="false">
      <c r="A21" s="4" t="s">
        <v>214</v>
      </c>
      <c r="B21" s="4" t="s">
        <v>23</v>
      </c>
      <c r="C21" s="4" t="s">
        <v>215</v>
      </c>
      <c r="D21" s="4" t="s">
        <v>216</v>
      </c>
      <c r="E21" s="4" t="s">
        <v>217</v>
      </c>
      <c r="F21" s="4" t="s">
        <v>218</v>
      </c>
      <c r="G21" s="4" t="s">
        <v>219</v>
      </c>
      <c r="H21" s="4" t="s">
        <v>216</v>
      </c>
      <c r="I21" s="4"/>
      <c r="J21" s="4" t="s">
        <v>220</v>
      </c>
      <c r="K21" s="4" t="s">
        <v>221</v>
      </c>
      <c r="L21" s="4" t="s">
        <v>222</v>
      </c>
      <c r="M21" s="4"/>
      <c r="N21" s="4" t="s">
        <v>70</v>
      </c>
      <c r="O21" s="12" t="s">
        <v>81</v>
      </c>
      <c r="P21" s="14"/>
      <c r="Q21" s="12" t="s">
        <v>73</v>
      </c>
      <c r="R21" s="12" t="s">
        <v>223</v>
      </c>
      <c r="S21" s="13" t="str">
        <f aca="false">IF(P21="","",IFERROR(VLOOKUP(P21,Components!$E$2:$H$83,3,FALSE()),"INVALID"))</f>
        <v/>
      </c>
      <c r="T21" s="13" t="str">
        <f aca="false">IF(P21="","",IFERROR(VLOOKUP(P21,Components!$E$2:$H$83,4,FALSE()),"INVALID"))</f>
        <v/>
      </c>
      <c r="U21" s="13" t="str">
        <f aca="false">IF(O21="","",IF(O21="ASSIGN_COMPONENT",IF(P21&lt;&gt;"","OK","CHECK: component required"),IF(O21="HOLD_UNRESOLVED",IF(P21="","OK","CHECK: clear component"),IF(O21="REGISTRY_ISSUE",IF(R21&lt;&gt;"","OK","CHECK: note required"),"CHECK"))))</f>
        <v>OK</v>
      </c>
    </row>
    <row r="22" customFormat="false" ht="36" hidden="false" customHeight="true" outlineLevel="0" collapsed="false">
      <c r="A22" s="4" t="s">
        <v>224</v>
      </c>
      <c r="B22" s="4" t="s">
        <v>23</v>
      </c>
      <c r="C22" s="4" t="s">
        <v>215</v>
      </c>
      <c r="D22" s="4" t="s">
        <v>216</v>
      </c>
      <c r="E22" s="4" t="s">
        <v>217</v>
      </c>
      <c r="F22" s="4" t="s">
        <v>218</v>
      </c>
      <c r="G22" s="4" t="s">
        <v>225</v>
      </c>
      <c r="H22" s="4" t="s">
        <v>226</v>
      </c>
      <c r="I22" s="4"/>
      <c r="J22" s="4" t="s">
        <v>220</v>
      </c>
      <c r="K22" s="4" t="s">
        <v>227</v>
      </c>
      <c r="L22" s="4" t="s">
        <v>222</v>
      </c>
      <c r="M22" s="4" t="s">
        <v>228</v>
      </c>
      <c r="N22" s="4" t="s">
        <v>70</v>
      </c>
      <c r="O22" s="12" t="s">
        <v>81</v>
      </c>
      <c r="P22" s="14"/>
      <c r="Q22" s="12" t="s">
        <v>73</v>
      </c>
      <c r="R22" s="12" t="s">
        <v>223</v>
      </c>
      <c r="S22" s="13" t="str">
        <f aca="false">IF(P22="","",IFERROR(VLOOKUP(P22,Components!$E$2:$H$83,3,FALSE()),"INVALID"))</f>
        <v/>
      </c>
      <c r="T22" s="13" t="str">
        <f aca="false">IF(P22="","",IFERROR(VLOOKUP(P22,Components!$E$2:$H$83,4,FALSE()),"INVALID"))</f>
        <v/>
      </c>
      <c r="U22" s="13" t="str">
        <f aca="false">IF(O22="","",IF(O22="ASSIGN_COMPONENT",IF(P22&lt;&gt;"","OK","CHECK: component required"),IF(O22="HOLD_UNRESOLVED",IF(P22="","OK","CHECK: clear component"),IF(O22="REGISTRY_ISSUE",IF(R22&lt;&gt;"","OK","CHECK: note required"),"CHECK"))))</f>
        <v>OK</v>
      </c>
    </row>
    <row r="23" customFormat="false" ht="36" hidden="false" customHeight="true" outlineLevel="0" collapsed="false">
      <c r="A23" s="4" t="s">
        <v>229</v>
      </c>
      <c r="B23" s="4" t="s">
        <v>23</v>
      </c>
      <c r="C23" s="4" t="s">
        <v>215</v>
      </c>
      <c r="D23" s="4" t="s">
        <v>216</v>
      </c>
      <c r="E23" s="4" t="s">
        <v>217</v>
      </c>
      <c r="F23" s="4" t="s">
        <v>218</v>
      </c>
      <c r="G23" s="4" t="s">
        <v>230</v>
      </c>
      <c r="H23" s="4" t="s">
        <v>216</v>
      </c>
      <c r="I23" s="4" t="s">
        <v>231</v>
      </c>
      <c r="J23" s="4" t="s">
        <v>146</v>
      </c>
      <c r="K23" s="4" t="s">
        <v>232</v>
      </c>
      <c r="L23" s="4" t="s">
        <v>222</v>
      </c>
      <c r="M23" s="4" t="s">
        <v>233</v>
      </c>
      <c r="N23" s="4" t="s">
        <v>70</v>
      </c>
      <c r="O23" s="12" t="s">
        <v>71</v>
      </c>
      <c r="P23" s="12" t="s">
        <v>234</v>
      </c>
      <c r="Q23" s="12" t="s">
        <v>70</v>
      </c>
      <c r="R23" s="12" t="s">
        <v>235</v>
      </c>
      <c r="S23" s="13" t="str">
        <f aca="false">IF(P23="","",IFERROR(VLOOKUP(P23,Components!$E$2:$H$83,3,FALSE()),"INVALID"))</f>
        <v>Study apparatus / CD-ROM manual</v>
      </c>
      <c r="T23" s="13" t="str">
        <f aca="false">IF(P23="","",IFERROR(VLOOKUP(P23,Components!$E$2:$H$83,4,FALSE()),"INVALID"))</f>
        <v>EXCLUDE_APPARATUS</v>
      </c>
      <c r="U23" s="13" t="str">
        <f aca="false">IF(O23="","",IF(O23="ASSIGN_COMPONENT",IF(P23&lt;&gt;"","OK","CHECK: component required"),IF(O23="HOLD_UNRESOLVED",IF(P23="","OK","CHECK: clear component"),IF(O23="REGISTRY_ISSUE",IF(R23&lt;&gt;"","OK","CHECK: note required"),"CHECK"))))</f>
        <v>OK</v>
      </c>
    </row>
    <row r="24" customFormat="false" ht="36" hidden="false" customHeight="true" outlineLevel="0" collapsed="false">
      <c r="A24" s="4" t="s">
        <v>236</v>
      </c>
      <c r="B24" s="4" t="s">
        <v>23</v>
      </c>
      <c r="C24" s="4" t="s">
        <v>215</v>
      </c>
      <c r="D24" s="4" t="s">
        <v>216</v>
      </c>
      <c r="E24" s="4" t="s">
        <v>217</v>
      </c>
      <c r="F24" s="4" t="s">
        <v>218</v>
      </c>
      <c r="G24" s="4" t="s">
        <v>237</v>
      </c>
      <c r="H24" s="4" t="s">
        <v>216</v>
      </c>
      <c r="I24" s="4" t="s">
        <v>238</v>
      </c>
      <c r="J24" s="4" t="s">
        <v>239</v>
      </c>
      <c r="K24" s="4" t="s">
        <v>240</v>
      </c>
      <c r="L24" s="4" t="s">
        <v>222</v>
      </c>
      <c r="M24" s="4" t="s">
        <v>241</v>
      </c>
      <c r="N24" s="4" t="s">
        <v>70</v>
      </c>
      <c r="O24" s="12" t="s">
        <v>71</v>
      </c>
      <c r="P24" s="12" t="s">
        <v>242</v>
      </c>
      <c r="Q24" s="12" t="s">
        <v>70</v>
      </c>
      <c r="R24" s="12" t="s">
        <v>243</v>
      </c>
      <c r="S24" s="13" t="str">
        <f aca="false">IF(P24="","",IFERROR(VLOOKUP(P24,Components!$E$2:$H$83,3,FALSE()),"INVALID"))</f>
        <v>Canterbury Tales selections</v>
      </c>
      <c r="T24" s="13" t="str">
        <f aca="false">IF(P24="","",IFERROR(VLOOKUP(P24,Components!$E$2:$H$83,4,FALSE()),"INVALID"))</f>
        <v>SUCCESSOR</v>
      </c>
      <c r="U24" s="13" t="str">
        <f aca="false">IF(O24="","",IF(O24="ASSIGN_COMPONENT",IF(P24&lt;&gt;"","OK","CHECK: component required"),IF(O24="HOLD_UNRESOLVED",IF(P24="","OK","CHECK: clear component"),IF(O24="REGISTRY_ISSUE",IF(R24&lt;&gt;"","OK","CHECK: note required"),"CHECK"))))</f>
        <v>OK</v>
      </c>
    </row>
    <row r="25" customFormat="false" ht="36" hidden="false" customHeight="true" outlineLevel="0" collapsed="false">
      <c r="A25" s="4" t="s">
        <v>244</v>
      </c>
      <c r="B25" s="4" t="s">
        <v>23</v>
      </c>
      <c r="C25" s="4" t="s">
        <v>215</v>
      </c>
      <c r="D25" s="4" t="s">
        <v>216</v>
      </c>
      <c r="E25" s="4" t="s">
        <v>217</v>
      </c>
      <c r="F25" s="4" t="s">
        <v>218</v>
      </c>
      <c r="G25" s="4" t="s">
        <v>245</v>
      </c>
      <c r="H25" s="4" t="s">
        <v>216</v>
      </c>
      <c r="I25" s="4"/>
      <c r="J25" s="4" t="s">
        <v>246</v>
      </c>
      <c r="K25" s="4" t="s">
        <v>247</v>
      </c>
      <c r="L25" s="4" t="s">
        <v>222</v>
      </c>
      <c r="M25" s="4"/>
      <c r="N25" s="4" t="s">
        <v>70</v>
      </c>
      <c r="O25" s="12" t="s">
        <v>81</v>
      </c>
      <c r="P25" s="14"/>
      <c r="Q25" s="12" t="s">
        <v>73</v>
      </c>
      <c r="R25" s="12" t="s">
        <v>248</v>
      </c>
      <c r="S25" s="13" t="str">
        <f aca="false">IF(P25="","",IFERROR(VLOOKUP(P25,Components!$E$2:$H$83,3,FALSE()),"INVALID"))</f>
        <v/>
      </c>
      <c r="T25" s="13" t="str">
        <f aca="false">IF(P25="","",IFERROR(VLOOKUP(P25,Components!$E$2:$H$83,4,FALSE()),"INVALID"))</f>
        <v/>
      </c>
      <c r="U25" s="13" t="str">
        <f aca="false">IF(O25="","",IF(O25="ASSIGN_COMPONENT",IF(P25&lt;&gt;"","OK","CHECK: component required"),IF(O25="HOLD_UNRESOLVED",IF(P25="","OK","CHECK: clear component"),IF(O25="REGISTRY_ISSUE",IF(R25&lt;&gt;"","OK","CHECK: note required"),"CHECK"))))</f>
        <v>OK</v>
      </c>
    </row>
    <row r="26" customFormat="false" ht="36" hidden="false" customHeight="true" outlineLevel="0" collapsed="false">
      <c r="A26" s="4" t="s">
        <v>249</v>
      </c>
      <c r="B26" s="4" t="s">
        <v>23</v>
      </c>
      <c r="C26" s="4" t="s">
        <v>215</v>
      </c>
      <c r="D26" s="4" t="s">
        <v>216</v>
      </c>
      <c r="E26" s="4" t="s">
        <v>217</v>
      </c>
      <c r="F26" s="4" t="s">
        <v>218</v>
      </c>
      <c r="G26" s="4" t="s">
        <v>250</v>
      </c>
      <c r="H26" s="4" t="s">
        <v>216</v>
      </c>
      <c r="I26" s="4" t="s">
        <v>251</v>
      </c>
      <c r="J26" s="4" t="s">
        <v>252</v>
      </c>
      <c r="K26" s="4" t="s">
        <v>111</v>
      </c>
      <c r="L26" s="4" t="s">
        <v>222</v>
      </c>
      <c r="M26" s="4" t="s">
        <v>253</v>
      </c>
      <c r="N26" s="4" t="s">
        <v>70</v>
      </c>
      <c r="O26" s="12" t="s">
        <v>71</v>
      </c>
      <c r="P26" s="12" t="s">
        <v>234</v>
      </c>
      <c r="Q26" s="12" t="s">
        <v>73</v>
      </c>
      <c r="R26" s="12" t="s">
        <v>254</v>
      </c>
      <c r="S26" s="13" t="str">
        <f aca="false">IF(P26="","",IFERROR(VLOOKUP(P26,Components!$E$2:$H$83,3,FALSE()),"INVALID"))</f>
        <v>Study apparatus / CD-ROM manual</v>
      </c>
      <c r="T26" s="13" t="str">
        <f aca="false">IF(P26="","",IFERROR(VLOOKUP(P26,Components!$E$2:$H$83,4,FALSE()),"INVALID"))</f>
        <v>EXCLUDE_APPARATUS</v>
      </c>
      <c r="U26" s="13" t="str">
        <f aca="false">IF(O26="","",IF(O26="ASSIGN_COMPONENT",IF(P26&lt;&gt;"","OK","CHECK: component required"),IF(O26="HOLD_UNRESOLVED",IF(P26="","OK","CHECK: clear component"),IF(O26="REGISTRY_ISSUE",IF(R26&lt;&gt;"","OK","CHECK: note required"),"CHECK"))))</f>
        <v>OK</v>
      </c>
    </row>
    <row r="27" customFormat="false" ht="36" hidden="false" customHeight="true" outlineLevel="0" collapsed="false">
      <c r="A27" s="4" t="s">
        <v>255</v>
      </c>
      <c r="B27" s="4" t="s">
        <v>23</v>
      </c>
      <c r="C27" s="4" t="s">
        <v>215</v>
      </c>
      <c r="D27" s="4" t="s">
        <v>216</v>
      </c>
      <c r="E27" s="4" t="s">
        <v>217</v>
      </c>
      <c r="F27" s="4" t="s">
        <v>218</v>
      </c>
      <c r="G27" s="4" t="s">
        <v>256</v>
      </c>
      <c r="H27" s="4" t="s">
        <v>216</v>
      </c>
      <c r="I27" s="4" t="s">
        <v>257</v>
      </c>
      <c r="J27" s="4" t="s">
        <v>258</v>
      </c>
      <c r="K27" s="4" t="s">
        <v>111</v>
      </c>
      <c r="L27" s="4" t="s">
        <v>222</v>
      </c>
      <c r="M27" s="4" t="s">
        <v>253</v>
      </c>
      <c r="N27" s="4" t="s">
        <v>70</v>
      </c>
      <c r="O27" s="12" t="s">
        <v>71</v>
      </c>
      <c r="P27" s="12" t="s">
        <v>234</v>
      </c>
      <c r="Q27" s="12" t="s">
        <v>70</v>
      </c>
      <c r="R27" s="12" t="s">
        <v>259</v>
      </c>
      <c r="S27" s="13" t="str">
        <f aca="false">IF(P27="","",IFERROR(VLOOKUP(P27,Components!$E$2:$H$83,3,FALSE()),"INVALID"))</f>
        <v>Study apparatus / CD-ROM manual</v>
      </c>
      <c r="T27" s="13" t="str">
        <f aca="false">IF(P27="","",IFERROR(VLOOKUP(P27,Components!$E$2:$H$83,4,FALSE()),"INVALID"))</f>
        <v>EXCLUDE_APPARATUS</v>
      </c>
      <c r="U27" s="13" t="str">
        <f aca="false">IF(O27="","",IF(O27="ASSIGN_COMPONENT",IF(P27&lt;&gt;"","OK","CHECK: component required"),IF(O27="HOLD_UNRESOLVED",IF(P27="","OK","CHECK: clear component"),IF(O27="REGISTRY_ISSUE",IF(R27&lt;&gt;"","OK","CHECK: note required"),"CHECK"))))</f>
        <v>OK</v>
      </c>
    </row>
    <row r="28" customFormat="false" ht="36" hidden="false" customHeight="true" outlineLevel="0" collapsed="false">
      <c r="A28" s="4" t="s">
        <v>260</v>
      </c>
      <c r="B28" s="4" t="s">
        <v>25</v>
      </c>
      <c r="C28" s="4" t="s">
        <v>261</v>
      </c>
      <c r="D28" s="4" t="s">
        <v>262</v>
      </c>
      <c r="E28" s="4" t="s">
        <v>262</v>
      </c>
      <c r="F28" s="4" t="s">
        <v>263</v>
      </c>
      <c r="G28" s="4" t="s">
        <v>264</v>
      </c>
      <c r="H28" s="4" t="s">
        <v>262</v>
      </c>
      <c r="I28" s="4"/>
      <c r="J28" s="4" t="s">
        <v>265</v>
      </c>
      <c r="K28" s="4" t="s">
        <v>266</v>
      </c>
      <c r="L28" s="4" t="s">
        <v>267</v>
      </c>
      <c r="M28" s="4" t="s">
        <v>268</v>
      </c>
      <c r="N28" s="4" t="s">
        <v>70</v>
      </c>
      <c r="O28" s="12" t="s">
        <v>81</v>
      </c>
      <c r="P28" s="14"/>
      <c r="Q28" s="12" t="s">
        <v>73</v>
      </c>
      <c r="R28" s="12" t="s">
        <v>269</v>
      </c>
      <c r="S28" s="13" t="str">
        <f aca="false">IF(P28="","",IFERROR(VLOOKUP(P28,Components!$E$2:$H$83,3,FALSE()),"INVALID"))</f>
        <v/>
      </c>
      <c r="T28" s="13" t="str">
        <f aca="false">IF(P28="","",IFERROR(VLOOKUP(P28,Components!$E$2:$H$83,4,FALSE()),"INVALID"))</f>
        <v/>
      </c>
      <c r="U28" s="13" t="str">
        <f aca="false">IF(O28="","",IF(O28="ASSIGN_COMPONENT",IF(P28&lt;&gt;"","OK","CHECK: component required"),IF(O28="HOLD_UNRESOLVED",IF(P28="","OK","CHECK: clear component"),IF(O28="REGISTRY_ISSUE",IF(R28&lt;&gt;"","OK","CHECK: note required"),"CHECK"))))</f>
        <v>OK</v>
      </c>
    </row>
    <row r="29" customFormat="false" ht="36" hidden="false" customHeight="true" outlineLevel="0" collapsed="false">
      <c r="A29" s="4" t="s">
        <v>270</v>
      </c>
      <c r="B29" s="4" t="s">
        <v>25</v>
      </c>
      <c r="C29" s="4" t="s">
        <v>261</v>
      </c>
      <c r="D29" s="4" t="s">
        <v>262</v>
      </c>
      <c r="E29" s="4" t="s">
        <v>262</v>
      </c>
      <c r="F29" s="4" t="s">
        <v>263</v>
      </c>
      <c r="G29" s="4" t="s">
        <v>271</v>
      </c>
      <c r="H29" s="4" t="s">
        <v>262</v>
      </c>
      <c r="I29" s="4" t="s">
        <v>272</v>
      </c>
      <c r="J29" s="4" t="s">
        <v>273</v>
      </c>
      <c r="K29" s="4" t="s">
        <v>274</v>
      </c>
      <c r="L29" s="4" t="s">
        <v>275</v>
      </c>
      <c r="M29" s="4" t="s">
        <v>276</v>
      </c>
      <c r="N29" s="4" t="s">
        <v>70</v>
      </c>
      <c r="O29" s="12" t="s">
        <v>71</v>
      </c>
      <c r="P29" s="12" t="s">
        <v>277</v>
      </c>
      <c r="Q29" s="12" t="s">
        <v>70</v>
      </c>
      <c r="R29" s="12" t="s">
        <v>278</v>
      </c>
      <c r="S29" s="13" t="str">
        <f aca="false">IF(P29="","",IFERROR(VLOOKUP(P29,Components!$E$2:$H$83,3,FALSE()),"INVALID"))</f>
        <v>Fairy-tale / story collections</v>
      </c>
      <c r="T29" s="13" t="str">
        <f aca="false">IF(P29="","",IFERROR(VLOOKUP(P29,Components!$E$2:$H$83,4,FALSE()),"INVALID"))</f>
        <v>SUCCESSOR</v>
      </c>
      <c r="U29" s="13" t="str">
        <f aca="false">IF(O29="","",IF(O29="ASSIGN_COMPONENT",IF(P29&lt;&gt;"","OK","CHECK: component required"),IF(O29="HOLD_UNRESOLVED",IF(P29="","OK","CHECK: clear component"),IF(O29="REGISTRY_ISSUE",IF(R29&lt;&gt;"","OK","CHECK: note required"),"CHECK"))))</f>
        <v>OK</v>
      </c>
    </row>
    <row r="30" customFormat="false" ht="36" hidden="false" customHeight="true" outlineLevel="0" collapsed="false">
      <c r="A30" s="4" t="s">
        <v>279</v>
      </c>
      <c r="B30" s="4" t="s">
        <v>27</v>
      </c>
      <c r="C30" s="4" t="s">
        <v>280</v>
      </c>
      <c r="D30" s="4" t="s">
        <v>281</v>
      </c>
      <c r="E30" s="4" t="s">
        <v>281</v>
      </c>
      <c r="F30" s="4" t="s">
        <v>282</v>
      </c>
      <c r="G30" s="4" t="s">
        <v>283</v>
      </c>
      <c r="H30" s="4" t="s">
        <v>281</v>
      </c>
      <c r="I30" s="4"/>
      <c r="J30" s="4" t="s">
        <v>284</v>
      </c>
      <c r="K30" s="4" t="s">
        <v>285</v>
      </c>
      <c r="L30" s="4" t="s">
        <v>286</v>
      </c>
      <c r="M30" s="4" t="s">
        <v>287</v>
      </c>
      <c r="N30" s="4" t="s">
        <v>70</v>
      </c>
      <c r="O30" s="12" t="s">
        <v>81</v>
      </c>
      <c r="P30" s="14"/>
      <c r="Q30" s="12" t="s">
        <v>73</v>
      </c>
      <c r="R30" s="12" t="s">
        <v>288</v>
      </c>
      <c r="S30" s="13" t="str">
        <f aca="false">IF(P30="","",IFERROR(VLOOKUP(P30,Components!$E$2:$H$83,3,FALSE()),"INVALID"))</f>
        <v/>
      </c>
      <c r="T30" s="13" t="str">
        <f aca="false">IF(P30="","",IFERROR(VLOOKUP(P30,Components!$E$2:$H$83,4,FALSE()),"INVALID"))</f>
        <v/>
      </c>
      <c r="U30" s="13" t="str">
        <f aca="false">IF(O30="","",IF(O30="ASSIGN_COMPONENT",IF(P30&lt;&gt;"","OK","CHECK: component required"),IF(O30="HOLD_UNRESOLVED",IF(P30="","OK","CHECK: clear component"),IF(O30="REGISTRY_ISSUE",IF(R30&lt;&gt;"","OK","CHECK: note required"),"CHECK"))))</f>
        <v>OK</v>
      </c>
    </row>
    <row r="31" customFormat="false" ht="36" hidden="false" customHeight="true" outlineLevel="0" collapsed="false">
      <c r="A31" s="4" t="s">
        <v>289</v>
      </c>
      <c r="B31" s="4" t="s">
        <v>27</v>
      </c>
      <c r="C31" s="4" t="s">
        <v>280</v>
      </c>
      <c r="D31" s="4" t="s">
        <v>281</v>
      </c>
      <c r="E31" s="4" t="s">
        <v>281</v>
      </c>
      <c r="F31" s="4" t="s">
        <v>282</v>
      </c>
      <c r="G31" s="4" t="s">
        <v>290</v>
      </c>
      <c r="H31" s="4" t="s">
        <v>281</v>
      </c>
      <c r="I31" s="4"/>
      <c r="J31" s="4" t="s">
        <v>284</v>
      </c>
      <c r="K31" s="4" t="s">
        <v>285</v>
      </c>
      <c r="L31" s="4" t="s">
        <v>286</v>
      </c>
      <c r="M31" s="4" t="s">
        <v>287</v>
      </c>
      <c r="N31" s="4" t="s">
        <v>70</v>
      </c>
      <c r="O31" s="12" t="s">
        <v>81</v>
      </c>
      <c r="P31" s="14"/>
      <c r="Q31" s="12" t="s">
        <v>73</v>
      </c>
      <c r="R31" s="12" t="s">
        <v>288</v>
      </c>
      <c r="S31" s="13" t="str">
        <f aca="false">IF(P31="","",IFERROR(VLOOKUP(P31,Components!$E$2:$H$83,3,FALSE()),"INVALID"))</f>
        <v/>
      </c>
      <c r="T31" s="13" t="str">
        <f aca="false">IF(P31="","",IFERROR(VLOOKUP(P31,Components!$E$2:$H$83,4,FALSE()),"INVALID"))</f>
        <v/>
      </c>
      <c r="U31" s="13" t="str">
        <f aca="false">IF(O31="","",IF(O31="ASSIGN_COMPONENT",IF(P31&lt;&gt;"","OK","CHECK: component required"),IF(O31="HOLD_UNRESOLVED",IF(P31="","OK","CHECK: clear component"),IF(O31="REGISTRY_ISSUE",IF(R31&lt;&gt;"","OK","CHECK: note required"),"CHECK"))))</f>
        <v>OK</v>
      </c>
    </row>
    <row r="32" customFormat="false" ht="36" hidden="false" customHeight="true" outlineLevel="0" collapsed="false">
      <c r="A32" s="4" t="s">
        <v>291</v>
      </c>
      <c r="B32" s="4" t="s">
        <v>27</v>
      </c>
      <c r="C32" s="4" t="s">
        <v>280</v>
      </c>
      <c r="D32" s="4" t="s">
        <v>281</v>
      </c>
      <c r="E32" s="4" t="s">
        <v>281</v>
      </c>
      <c r="F32" s="4" t="s">
        <v>282</v>
      </c>
      <c r="G32" s="4" t="s">
        <v>292</v>
      </c>
      <c r="H32" s="4" t="s">
        <v>281</v>
      </c>
      <c r="I32" s="4" t="s">
        <v>293</v>
      </c>
      <c r="J32" s="4" t="s">
        <v>294</v>
      </c>
      <c r="K32" s="4" t="s">
        <v>295</v>
      </c>
      <c r="L32" s="4" t="s">
        <v>286</v>
      </c>
      <c r="M32" s="4" t="s">
        <v>296</v>
      </c>
      <c r="N32" s="4" t="s">
        <v>70</v>
      </c>
      <c r="O32" s="12" t="s">
        <v>71</v>
      </c>
      <c r="P32" s="12" t="s">
        <v>297</v>
      </c>
      <c r="Q32" s="12" t="s">
        <v>70</v>
      </c>
      <c r="R32" s="12" t="s">
        <v>298</v>
      </c>
      <c r="S32" s="13" t="str">
        <f aca="false">IF(P32="","",IFERROR(VLOOKUP(P32,Components!$E$2:$H$83,3,FALSE()),"INVALID"))</f>
        <v>Works / Selected Fiction</v>
      </c>
      <c r="T32" s="13" t="str">
        <f aca="false">IF(P32="","",IFERROR(VLOOKUP(P32,Components!$E$2:$H$83,4,FALSE()),"INVALID"))</f>
        <v>DETACH</v>
      </c>
      <c r="U32" s="13" t="str">
        <f aca="false">IF(O32="","",IF(O32="ASSIGN_COMPONENT",IF(P32&lt;&gt;"","OK","CHECK: component required"),IF(O32="HOLD_UNRESOLVED",IF(P32="","OK","CHECK: clear component"),IF(O32="REGISTRY_ISSUE",IF(R32&lt;&gt;"","OK","CHECK: note required"),"CHECK"))))</f>
        <v>OK</v>
      </c>
    </row>
    <row r="33" customFormat="false" ht="36" hidden="false" customHeight="true" outlineLevel="0" collapsed="false">
      <c r="A33" s="4" t="s">
        <v>299</v>
      </c>
      <c r="B33" s="4" t="s">
        <v>27</v>
      </c>
      <c r="C33" s="4" t="s">
        <v>280</v>
      </c>
      <c r="D33" s="4" t="s">
        <v>281</v>
      </c>
      <c r="E33" s="4" t="s">
        <v>281</v>
      </c>
      <c r="F33" s="4" t="s">
        <v>282</v>
      </c>
      <c r="G33" s="4" t="s">
        <v>300</v>
      </c>
      <c r="H33" s="4" t="s">
        <v>281</v>
      </c>
      <c r="I33" s="4" t="s">
        <v>301</v>
      </c>
      <c r="J33" s="4" t="s">
        <v>302</v>
      </c>
      <c r="K33" s="4" t="s">
        <v>192</v>
      </c>
      <c r="L33" s="4" t="s">
        <v>286</v>
      </c>
      <c r="M33" s="4" t="s">
        <v>303</v>
      </c>
      <c r="N33" s="4" t="s">
        <v>70</v>
      </c>
      <c r="O33" s="12" t="s">
        <v>71</v>
      </c>
      <c r="P33" s="12" t="s">
        <v>304</v>
      </c>
      <c r="Q33" s="12" t="s">
        <v>70</v>
      </c>
      <c r="R33" s="12" t="s">
        <v>305</v>
      </c>
      <c r="S33" s="13" t="str">
        <f aca="false">IF(P33="","",IFERROR(VLOOKUP(P33,Components!$E$2:$H$83,3,FALSE()),"INVALID"))</f>
        <v>An intimate anthology</v>
      </c>
      <c r="T33" s="13" t="str">
        <f aca="false">IF(P33="","",IFERROR(VLOOKUP(P33,Components!$E$2:$H$83,4,FALSE()),"INVALID"))</f>
        <v>DETACH</v>
      </c>
      <c r="U33" s="13" t="str">
        <f aca="false">IF(O33="","",IF(O33="ASSIGN_COMPONENT",IF(P33&lt;&gt;"","OK","CHECK: component required"),IF(O33="HOLD_UNRESOLVED",IF(P33="","OK","CHECK: clear component"),IF(O33="REGISTRY_ISSUE",IF(R33&lt;&gt;"","OK","CHECK: note required"),"CHECK"))))</f>
        <v>OK</v>
      </c>
    </row>
    <row r="34" customFormat="false" ht="36" hidden="false" customHeight="true" outlineLevel="0" collapsed="false">
      <c r="A34" s="4" t="s">
        <v>306</v>
      </c>
      <c r="B34" s="4" t="s">
        <v>27</v>
      </c>
      <c r="C34" s="4" t="s">
        <v>280</v>
      </c>
      <c r="D34" s="4" t="s">
        <v>281</v>
      </c>
      <c r="E34" s="4" t="s">
        <v>281</v>
      </c>
      <c r="F34" s="4" t="s">
        <v>282</v>
      </c>
      <c r="G34" s="4" t="s">
        <v>307</v>
      </c>
      <c r="H34" s="4" t="s">
        <v>281</v>
      </c>
      <c r="I34" s="4" t="s">
        <v>293</v>
      </c>
      <c r="J34" s="4" t="s">
        <v>308</v>
      </c>
      <c r="K34" s="4" t="s">
        <v>309</v>
      </c>
      <c r="L34" s="4" t="s">
        <v>286</v>
      </c>
      <c r="M34" s="4" t="s">
        <v>296</v>
      </c>
      <c r="N34" s="4" t="s">
        <v>70</v>
      </c>
      <c r="O34" s="12" t="s">
        <v>71</v>
      </c>
      <c r="P34" s="12" t="s">
        <v>297</v>
      </c>
      <c r="Q34" s="12" t="s">
        <v>70</v>
      </c>
      <c r="R34" s="12" t="s">
        <v>298</v>
      </c>
      <c r="S34" s="13" t="str">
        <f aca="false">IF(P34="","",IFERROR(VLOOKUP(P34,Components!$E$2:$H$83,3,FALSE()),"INVALID"))</f>
        <v>Works / Selected Fiction</v>
      </c>
      <c r="T34" s="13" t="str">
        <f aca="false">IF(P34="","",IFERROR(VLOOKUP(P34,Components!$E$2:$H$83,4,FALSE()),"INVALID"))</f>
        <v>DETACH</v>
      </c>
      <c r="U34" s="13" t="str">
        <f aca="false">IF(O34="","",IF(O34="ASSIGN_COMPONENT",IF(P34&lt;&gt;"","OK","CHECK: component required"),IF(O34="HOLD_UNRESOLVED",IF(P34="","OK","CHECK: clear component"),IF(O34="REGISTRY_ISSUE",IF(R34&lt;&gt;"","OK","CHECK: note required"),"CHECK"))))</f>
        <v>OK</v>
      </c>
    </row>
    <row r="35" customFormat="false" ht="36" hidden="false" customHeight="true" outlineLevel="0" collapsed="false">
      <c r="A35" s="4" t="s">
        <v>310</v>
      </c>
      <c r="B35" s="4" t="s">
        <v>27</v>
      </c>
      <c r="C35" s="4" t="s">
        <v>280</v>
      </c>
      <c r="D35" s="4" t="s">
        <v>281</v>
      </c>
      <c r="E35" s="4" t="s">
        <v>281</v>
      </c>
      <c r="F35" s="4" t="s">
        <v>282</v>
      </c>
      <c r="G35" s="4" t="s">
        <v>311</v>
      </c>
      <c r="H35" s="4" t="s">
        <v>312</v>
      </c>
      <c r="I35" s="4"/>
      <c r="J35" s="4" t="s">
        <v>313</v>
      </c>
      <c r="K35" s="4" t="s">
        <v>314</v>
      </c>
      <c r="L35" s="4" t="s">
        <v>286</v>
      </c>
      <c r="M35" s="4" t="s">
        <v>315</v>
      </c>
      <c r="N35" s="4" t="s">
        <v>70</v>
      </c>
      <c r="O35" s="12" t="s">
        <v>71</v>
      </c>
      <c r="P35" s="12" t="s">
        <v>316</v>
      </c>
      <c r="Q35" s="12" t="s">
        <v>70</v>
      </c>
      <c r="R35" s="12" t="s">
        <v>317</v>
      </c>
      <c r="S35" s="13" t="str">
        <f aca="false">IF(P35="","",IFERROR(VLOOKUP(P35,Components!$E$2:$H$83,3,FALSE()),"INVALID"))</f>
        <v>Little Women / Little Men / Jo's Boys omnibus</v>
      </c>
      <c r="T35" s="13" t="str">
        <f aca="false">IF(P35="","",IFERROR(VLOOKUP(P35,Components!$E$2:$H$83,4,FALSE()),"INVALID"))</f>
        <v>DETACH</v>
      </c>
      <c r="U35" s="13" t="str">
        <f aca="false">IF(O35="","",IF(O35="ASSIGN_COMPONENT",IF(P35&lt;&gt;"","OK","CHECK: component required"),IF(O35="HOLD_UNRESOLVED",IF(P35="","OK","CHECK: clear component"),IF(O35="REGISTRY_ISSUE",IF(R35&lt;&gt;"","OK","CHECK: note required"),"CHECK"))))</f>
        <v>OK</v>
      </c>
    </row>
    <row r="36" customFormat="false" ht="36" hidden="false" customHeight="true" outlineLevel="0" collapsed="false">
      <c r="A36" s="4" t="s">
        <v>318</v>
      </c>
      <c r="B36" s="4" t="s">
        <v>27</v>
      </c>
      <c r="C36" s="4" t="s">
        <v>280</v>
      </c>
      <c r="D36" s="4" t="s">
        <v>281</v>
      </c>
      <c r="E36" s="4" t="s">
        <v>281</v>
      </c>
      <c r="F36" s="4" t="s">
        <v>282</v>
      </c>
      <c r="G36" s="4" t="s">
        <v>319</v>
      </c>
      <c r="H36" s="4" t="s">
        <v>320</v>
      </c>
      <c r="I36" s="4"/>
      <c r="J36" s="4" t="s">
        <v>321</v>
      </c>
      <c r="K36" s="4" t="s">
        <v>322</v>
      </c>
      <c r="L36" s="4" t="s">
        <v>286</v>
      </c>
      <c r="M36" s="4" t="s">
        <v>323</v>
      </c>
      <c r="N36" s="4" t="s">
        <v>70</v>
      </c>
      <c r="O36" s="12" t="s">
        <v>71</v>
      </c>
      <c r="P36" s="12" t="s">
        <v>324</v>
      </c>
      <c r="Q36" s="12" t="s">
        <v>70</v>
      </c>
      <c r="R36" s="12" t="s">
        <v>325</v>
      </c>
      <c r="S36" s="13" t="str">
        <f aca="false">IF(P36="","",IFERROR(VLOOKUP(P36,Components!$E$2:$H$83,3,FALSE()),"INVALID"))</f>
        <v>Her Life, Letters, and Journals</v>
      </c>
      <c r="T36" s="13" t="str">
        <f aca="false">IF(P36="","",IFERROR(VLOOKUP(P36,Components!$E$2:$H$83,4,FALSE()),"INVALID"))</f>
        <v>PRIMARY_SUCCESSOR_HINT</v>
      </c>
      <c r="U36" s="13" t="str">
        <f aca="false">IF(O36="","",IF(O36="ASSIGN_COMPONENT",IF(P36&lt;&gt;"","OK","CHECK: component required"),IF(O36="HOLD_UNRESOLVED",IF(P36="","OK","CHECK: clear component"),IF(O36="REGISTRY_ISSUE",IF(R36&lt;&gt;"","OK","CHECK: note required"),"CHECK"))))</f>
        <v>OK</v>
      </c>
    </row>
    <row r="37" customFormat="false" ht="36" hidden="false" customHeight="true" outlineLevel="0" collapsed="false">
      <c r="A37" s="4" t="s">
        <v>326</v>
      </c>
      <c r="B37" s="4" t="s">
        <v>27</v>
      </c>
      <c r="C37" s="4" t="s">
        <v>280</v>
      </c>
      <c r="D37" s="4" t="s">
        <v>281</v>
      </c>
      <c r="E37" s="4" t="s">
        <v>281</v>
      </c>
      <c r="F37" s="4" t="s">
        <v>282</v>
      </c>
      <c r="G37" s="4" t="s">
        <v>327</v>
      </c>
      <c r="H37" s="4" t="s">
        <v>281</v>
      </c>
      <c r="I37" s="4" t="s">
        <v>85</v>
      </c>
      <c r="J37" s="4" t="s">
        <v>328</v>
      </c>
      <c r="K37" s="4" t="s">
        <v>329</v>
      </c>
      <c r="L37" s="4" t="s">
        <v>330</v>
      </c>
      <c r="M37" s="4" t="s">
        <v>331</v>
      </c>
      <c r="N37" s="4" t="s">
        <v>70</v>
      </c>
      <c r="O37" s="12" t="s">
        <v>71</v>
      </c>
      <c r="P37" s="12" t="s">
        <v>297</v>
      </c>
      <c r="Q37" s="12" t="s">
        <v>70</v>
      </c>
      <c r="R37" s="12" t="s">
        <v>298</v>
      </c>
      <c r="S37" s="13" t="str">
        <f aca="false">IF(P37="","",IFERROR(VLOOKUP(P37,Components!$E$2:$H$83,3,FALSE()),"INVALID"))</f>
        <v>Works / Selected Fiction</v>
      </c>
      <c r="T37" s="13" t="str">
        <f aca="false">IF(P37="","",IFERROR(VLOOKUP(P37,Components!$E$2:$H$83,4,FALSE()),"INVALID"))</f>
        <v>DETACH</v>
      </c>
      <c r="U37" s="13" t="str">
        <f aca="false">IF(O37="","",IF(O37="ASSIGN_COMPONENT",IF(P37&lt;&gt;"","OK","CHECK: component required"),IF(O37="HOLD_UNRESOLVED",IF(P37="","OK","CHECK: clear component"),IF(O37="REGISTRY_ISSUE",IF(R37&lt;&gt;"","OK","CHECK: note required"),"CHECK"))))</f>
        <v>OK</v>
      </c>
    </row>
    <row r="38" customFormat="false" ht="36" hidden="false" customHeight="true" outlineLevel="0" collapsed="false">
      <c r="A38" s="4" t="s">
        <v>332</v>
      </c>
      <c r="B38" s="4" t="s">
        <v>27</v>
      </c>
      <c r="C38" s="4" t="s">
        <v>280</v>
      </c>
      <c r="D38" s="4" t="s">
        <v>281</v>
      </c>
      <c r="E38" s="4" t="s">
        <v>281</v>
      </c>
      <c r="F38" s="4" t="s">
        <v>282</v>
      </c>
      <c r="G38" s="4" t="s">
        <v>333</v>
      </c>
      <c r="H38" s="4" t="s">
        <v>334</v>
      </c>
      <c r="I38" s="4"/>
      <c r="J38" s="4" t="s">
        <v>335</v>
      </c>
      <c r="K38" s="4" t="s">
        <v>336</v>
      </c>
      <c r="L38" s="4" t="s">
        <v>286</v>
      </c>
      <c r="M38" s="4"/>
      <c r="N38" s="4" t="s">
        <v>70</v>
      </c>
      <c r="O38" s="12" t="s">
        <v>71</v>
      </c>
      <c r="P38" s="12" t="s">
        <v>297</v>
      </c>
      <c r="Q38" s="12" t="s">
        <v>70</v>
      </c>
      <c r="R38" s="12" t="s">
        <v>337</v>
      </c>
      <c r="S38" s="13" t="str">
        <f aca="false">IF(P38="","",IFERROR(VLOOKUP(P38,Components!$E$2:$H$83,3,FALSE()),"INVALID"))</f>
        <v>Works / Selected Fiction</v>
      </c>
      <c r="T38" s="13" t="str">
        <f aca="false">IF(P38="","",IFERROR(VLOOKUP(P38,Components!$E$2:$H$83,4,FALSE()),"INVALID"))</f>
        <v>DETACH</v>
      </c>
      <c r="U38" s="13" t="str">
        <f aca="false">IF(O38="","",IF(O38="ASSIGN_COMPONENT",IF(P38&lt;&gt;"","OK","CHECK: component required"),IF(O38="HOLD_UNRESOLVED",IF(P38="","OK","CHECK: clear component"),IF(O38="REGISTRY_ISSUE",IF(R38&lt;&gt;"","OK","CHECK: note required"),"CHECK"))))</f>
        <v>OK</v>
      </c>
    </row>
    <row r="39" customFormat="false" ht="36" hidden="false" customHeight="true" outlineLevel="0" collapsed="false">
      <c r="A39" s="4" t="s">
        <v>338</v>
      </c>
      <c r="B39" s="4" t="s">
        <v>27</v>
      </c>
      <c r="C39" s="4" t="s">
        <v>280</v>
      </c>
      <c r="D39" s="4" t="s">
        <v>281</v>
      </c>
      <c r="E39" s="4" t="s">
        <v>281</v>
      </c>
      <c r="F39" s="4" t="s">
        <v>282</v>
      </c>
      <c r="G39" s="4" t="s">
        <v>339</v>
      </c>
      <c r="H39" s="4" t="s">
        <v>340</v>
      </c>
      <c r="I39" s="4"/>
      <c r="J39" s="4" t="s">
        <v>341</v>
      </c>
      <c r="K39" s="4" t="s">
        <v>342</v>
      </c>
      <c r="L39" s="4"/>
      <c r="M39" s="4"/>
      <c r="N39" s="4" t="s">
        <v>70</v>
      </c>
      <c r="O39" s="12" t="s">
        <v>71</v>
      </c>
      <c r="P39" s="12" t="s">
        <v>343</v>
      </c>
      <c r="Q39" s="12" t="s">
        <v>70</v>
      </c>
      <c r="R39" s="12" t="s">
        <v>344</v>
      </c>
      <c r="S39" s="13" t="str">
        <f aca="false">IF(P39="","",IFERROR(VLOOKUP(P39,Components!$E$2:$H$83,3,FALSE()),"INVALID"))</f>
        <v>American Men &amp; Women of Letters biography</v>
      </c>
      <c r="T39" s="13" t="str">
        <f aca="false">IF(P39="","",IFERROR(VLOOKUP(P39,Components!$E$2:$H$83,4,FALSE()),"INVALID"))</f>
        <v>DETACH</v>
      </c>
      <c r="U39" s="13" t="str">
        <f aca="false">IF(O39="","",IF(O39="ASSIGN_COMPONENT",IF(P39&lt;&gt;"","OK","CHECK: component required"),IF(O39="HOLD_UNRESOLVED",IF(P39="","OK","CHECK: clear component"),IF(O39="REGISTRY_ISSUE",IF(R39&lt;&gt;"","OK","CHECK: note required"),"CHECK"))))</f>
        <v>OK</v>
      </c>
    </row>
    <row r="40" customFormat="false" ht="36" hidden="false" customHeight="true" outlineLevel="0" collapsed="false">
      <c r="A40" s="4" t="s">
        <v>345</v>
      </c>
      <c r="B40" s="4" t="s">
        <v>27</v>
      </c>
      <c r="C40" s="4" t="s">
        <v>280</v>
      </c>
      <c r="D40" s="4" t="s">
        <v>281</v>
      </c>
      <c r="E40" s="4" t="s">
        <v>281</v>
      </c>
      <c r="F40" s="4" t="s">
        <v>282</v>
      </c>
      <c r="G40" s="4" t="s">
        <v>346</v>
      </c>
      <c r="H40" s="4" t="s">
        <v>281</v>
      </c>
      <c r="I40" s="4" t="s">
        <v>347</v>
      </c>
      <c r="J40" s="4" t="s">
        <v>348</v>
      </c>
      <c r="K40" s="4" t="s">
        <v>349</v>
      </c>
      <c r="L40" s="4" t="s">
        <v>350</v>
      </c>
      <c r="M40" s="4" t="s">
        <v>351</v>
      </c>
      <c r="N40" s="4" t="s">
        <v>70</v>
      </c>
      <c r="O40" s="12" t="s">
        <v>71</v>
      </c>
      <c r="P40" s="12" t="s">
        <v>324</v>
      </c>
      <c r="Q40" s="12" t="s">
        <v>70</v>
      </c>
      <c r="R40" s="12" t="s">
        <v>325</v>
      </c>
      <c r="S40" s="13" t="str">
        <f aca="false">IF(P40="","",IFERROR(VLOOKUP(P40,Components!$E$2:$H$83,3,FALSE()),"INVALID"))</f>
        <v>Her Life, Letters, and Journals</v>
      </c>
      <c r="T40" s="13" t="str">
        <f aca="false">IF(P40="","",IFERROR(VLOOKUP(P40,Components!$E$2:$H$83,4,FALSE()),"INVALID"))</f>
        <v>PRIMARY_SUCCESSOR_HINT</v>
      </c>
      <c r="U40" s="13" t="str">
        <f aca="false">IF(O40="","",IF(O40="ASSIGN_COMPONENT",IF(P40&lt;&gt;"","OK","CHECK: component required"),IF(O40="HOLD_UNRESOLVED",IF(P40="","OK","CHECK: clear component"),IF(O40="REGISTRY_ISSUE",IF(R40&lt;&gt;"","OK","CHECK: note required"),"CHECK"))))</f>
        <v>OK</v>
      </c>
    </row>
    <row r="41" customFormat="false" ht="36" hidden="false" customHeight="true" outlineLevel="0" collapsed="false">
      <c r="A41" s="4" t="s">
        <v>352</v>
      </c>
      <c r="B41" s="4" t="s">
        <v>29</v>
      </c>
      <c r="C41" s="4" t="s">
        <v>353</v>
      </c>
      <c r="D41" s="4" t="s">
        <v>354</v>
      </c>
      <c r="E41" s="4" t="s">
        <v>354</v>
      </c>
      <c r="F41" s="4" t="s">
        <v>355</v>
      </c>
      <c r="G41" s="4" t="s">
        <v>356</v>
      </c>
      <c r="H41" s="4" t="s">
        <v>354</v>
      </c>
      <c r="I41" s="4" t="s">
        <v>357</v>
      </c>
      <c r="J41" s="4" t="s">
        <v>186</v>
      </c>
      <c r="K41" s="4" t="s">
        <v>358</v>
      </c>
      <c r="L41" s="4" t="s">
        <v>359</v>
      </c>
      <c r="M41" s="4" t="s">
        <v>360</v>
      </c>
      <c r="N41" s="4" t="s">
        <v>70</v>
      </c>
      <c r="O41" s="12" t="s">
        <v>71</v>
      </c>
      <c r="P41" s="12" t="s">
        <v>361</v>
      </c>
      <c r="Q41" s="12" t="s">
        <v>73</v>
      </c>
      <c r="R41" s="12" t="s">
        <v>362</v>
      </c>
      <c r="S41" s="13" t="str">
        <f aca="false">IF(P41="","",IFERROR(VLOOKUP(P41,Components!$E$2:$H$83,3,FALSE()),"INVALID"))</f>
        <v>Secondary studies of Rimbaud</v>
      </c>
      <c r="T41" s="13" t="str">
        <f aca="false">IF(P41="","",IFERROR(VLOOKUP(P41,Components!$E$2:$H$83,4,FALSE()),"INVALID"))</f>
        <v>DETACH</v>
      </c>
      <c r="U41" s="13" t="str">
        <f aca="false">IF(O41="","",IF(O41="ASSIGN_COMPONENT",IF(P41&lt;&gt;"","OK","CHECK: component required"),IF(O41="HOLD_UNRESOLVED",IF(P41="","OK","CHECK: clear component"),IF(O41="REGISTRY_ISSUE",IF(R41&lt;&gt;"","OK","CHECK: note required"),"CHECK"))))</f>
        <v>OK</v>
      </c>
    </row>
    <row r="42" customFormat="false" ht="36" hidden="false" customHeight="true" outlineLevel="0" collapsed="false">
      <c r="A42" s="4" t="s">
        <v>363</v>
      </c>
      <c r="B42" s="4" t="s">
        <v>29</v>
      </c>
      <c r="C42" s="4" t="s">
        <v>353</v>
      </c>
      <c r="D42" s="4" t="s">
        <v>354</v>
      </c>
      <c r="E42" s="4" t="s">
        <v>354</v>
      </c>
      <c r="F42" s="4" t="s">
        <v>355</v>
      </c>
      <c r="G42" s="4" t="s">
        <v>364</v>
      </c>
      <c r="H42" s="4" t="s">
        <v>354</v>
      </c>
      <c r="I42" s="4" t="s">
        <v>365</v>
      </c>
      <c r="J42" s="4" t="s">
        <v>366</v>
      </c>
      <c r="K42" s="4" t="s">
        <v>367</v>
      </c>
      <c r="L42" s="4" t="s">
        <v>359</v>
      </c>
      <c r="M42" s="4" t="s">
        <v>368</v>
      </c>
      <c r="N42" s="4" t="s">
        <v>70</v>
      </c>
      <c r="O42" s="12" t="s">
        <v>71</v>
      </c>
      <c r="P42" s="12" t="s">
        <v>361</v>
      </c>
      <c r="Q42" s="12" t="s">
        <v>70</v>
      </c>
      <c r="R42" s="12" t="s">
        <v>369</v>
      </c>
      <c r="S42" s="13" t="str">
        <f aca="false">IF(P42="","",IFERROR(VLOOKUP(P42,Components!$E$2:$H$83,3,FALSE()),"INVALID"))</f>
        <v>Secondary studies of Rimbaud</v>
      </c>
      <c r="T42" s="13" t="str">
        <f aca="false">IF(P42="","",IFERROR(VLOOKUP(P42,Components!$E$2:$H$83,4,FALSE()),"INVALID"))</f>
        <v>DETACH</v>
      </c>
      <c r="U42" s="13" t="str">
        <f aca="false">IF(O42="","",IF(O42="ASSIGN_COMPONENT",IF(P42&lt;&gt;"","OK","CHECK: component required"),IF(O42="HOLD_UNRESOLVED",IF(P42="","OK","CHECK: clear component"),IF(O42="REGISTRY_ISSUE",IF(R42&lt;&gt;"","OK","CHECK: note required"),"CHECK"))))</f>
        <v>OK</v>
      </c>
    </row>
    <row r="43" customFormat="false" ht="36" hidden="false" customHeight="true" outlineLevel="0" collapsed="false">
      <c r="A43" s="4" t="s">
        <v>370</v>
      </c>
      <c r="B43" s="4" t="s">
        <v>29</v>
      </c>
      <c r="C43" s="4" t="s">
        <v>353</v>
      </c>
      <c r="D43" s="4" t="s">
        <v>354</v>
      </c>
      <c r="E43" s="4" t="s">
        <v>354</v>
      </c>
      <c r="F43" s="4" t="s">
        <v>355</v>
      </c>
      <c r="G43" s="4" t="s">
        <v>371</v>
      </c>
      <c r="H43" s="4" t="s">
        <v>354</v>
      </c>
      <c r="I43" s="4"/>
      <c r="J43" s="4" t="s">
        <v>220</v>
      </c>
      <c r="K43" s="4" t="s">
        <v>367</v>
      </c>
      <c r="L43" s="4" t="s">
        <v>359</v>
      </c>
      <c r="M43" s="4" t="s">
        <v>372</v>
      </c>
      <c r="N43" s="4" t="s">
        <v>70</v>
      </c>
      <c r="O43" s="12" t="s">
        <v>71</v>
      </c>
      <c r="P43" s="12" t="s">
        <v>361</v>
      </c>
      <c r="Q43" s="12" t="s">
        <v>73</v>
      </c>
      <c r="R43" s="12" t="s">
        <v>373</v>
      </c>
      <c r="S43" s="13" t="str">
        <f aca="false">IF(P43="","",IFERROR(VLOOKUP(P43,Components!$E$2:$H$83,3,FALSE()),"INVALID"))</f>
        <v>Secondary studies of Rimbaud</v>
      </c>
      <c r="T43" s="13" t="str">
        <f aca="false">IF(P43="","",IFERROR(VLOOKUP(P43,Components!$E$2:$H$83,4,FALSE()),"INVALID"))</f>
        <v>DETACH</v>
      </c>
      <c r="U43" s="13" t="str">
        <f aca="false">IF(O43="","",IF(O43="ASSIGN_COMPONENT",IF(P43&lt;&gt;"","OK","CHECK: component required"),IF(O43="HOLD_UNRESOLVED",IF(P43="","OK","CHECK: clear component"),IF(O43="REGISTRY_ISSUE",IF(R43&lt;&gt;"","OK","CHECK: note required"),"CHECK"))))</f>
        <v>OK</v>
      </c>
    </row>
    <row r="44" customFormat="false" ht="36" hidden="false" customHeight="true" outlineLevel="0" collapsed="false">
      <c r="A44" s="4" t="s">
        <v>374</v>
      </c>
      <c r="B44" s="4" t="s">
        <v>29</v>
      </c>
      <c r="C44" s="4" t="s">
        <v>353</v>
      </c>
      <c r="D44" s="4" t="s">
        <v>354</v>
      </c>
      <c r="E44" s="4" t="s">
        <v>354</v>
      </c>
      <c r="F44" s="4" t="s">
        <v>355</v>
      </c>
      <c r="G44" s="4" t="s">
        <v>375</v>
      </c>
      <c r="H44" s="4" t="s">
        <v>354</v>
      </c>
      <c r="I44" s="4" t="s">
        <v>365</v>
      </c>
      <c r="J44" s="4" t="s">
        <v>220</v>
      </c>
      <c r="K44" s="4" t="s">
        <v>367</v>
      </c>
      <c r="L44" s="4" t="s">
        <v>359</v>
      </c>
      <c r="M44" s="4" t="s">
        <v>372</v>
      </c>
      <c r="N44" s="4" t="s">
        <v>70</v>
      </c>
      <c r="O44" s="12" t="s">
        <v>71</v>
      </c>
      <c r="P44" s="12" t="s">
        <v>361</v>
      </c>
      <c r="Q44" s="12" t="s">
        <v>70</v>
      </c>
      <c r="R44" s="12" t="s">
        <v>369</v>
      </c>
      <c r="S44" s="13" t="str">
        <f aca="false">IF(P44="","",IFERROR(VLOOKUP(P44,Components!$E$2:$H$83,3,FALSE()),"INVALID"))</f>
        <v>Secondary studies of Rimbaud</v>
      </c>
      <c r="T44" s="13" t="str">
        <f aca="false">IF(P44="","",IFERROR(VLOOKUP(P44,Components!$E$2:$H$83,4,FALSE()),"INVALID"))</f>
        <v>DETACH</v>
      </c>
      <c r="U44" s="13" t="str">
        <f aca="false">IF(O44="","",IF(O44="ASSIGN_COMPONENT",IF(P44&lt;&gt;"","OK","CHECK: component required"),IF(O44="HOLD_UNRESOLVED",IF(P44="","OK","CHECK: clear component"),IF(O44="REGISTRY_ISSUE",IF(R44&lt;&gt;"","OK","CHECK: note required"),"CHECK"))))</f>
        <v>OK</v>
      </c>
    </row>
    <row r="45" customFormat="false" ht="36" hidden="false" customHeight="true" outlineLevel="0" collapsed="false">
      <c r="A45" s="4" t="s">
        <v>376</v>
      </c>
      <c r="B45" s="4" t="s">
        <v>29</v>
      </c>
      <c r="C45" s="4" t="s">
        <v>353</v>
      </c>
      <c r="D45" s="4" t="s">
        <v>354</v>
      </c>
      <c r="E45" s="4" t="s">
        <v>354</v>
      </c>
      <c r="F45" s="4" t="s">
        <v>355</v>
      </c>
      <c r="G45" s="4" t="s">
        <v>377</v>
      </c>
      <c r="H45" s="4" t="s">
        <v>354</v>
      </c>
      <c r="I45" s="4"/>
      <c r="J45" s="4" t="s">
        <v>67</v>
      </c>
      <c r="K45" s="4" t="s">
        <v>367</v>
      </c>
      <c r="L45" s="4" t="s">
        <v>359</v>
      </c>
      <c r="M45" s="4" t="s">
        <v>368</v>
      </c>
      <c r="N45" s="4" t="s">
        <v>70</v>
      </c>
      <c r="O45" s="12" t="s">
        <v>71</v>
      </c>
      <c r="P45" s="12" t="s">
        <v>361</v>
      </c>
      <c r="Q45" s="12" t="s">
        <v>73</v>
      </c>
      <c r="R45" s="12" t="s">
        <v>373</v>
      </c>
      <c r="S45" s="13" t="str">
        <f aca="false">IF(P45="","",IFERROR(VLOOKUP(P45,Components!$E$2:$H$83,3,FALSE()),"INVALID"))</f>
        <v>Secondary studies of Rimbaud</v>
      </c>
      <c r="T45" s="13" t="str">
        <f aca="false">IF(P45="","",IFERROR(VLOOKUP(P45,Components!$E$2:$H$83,4,FALSE()),"INVALID"))</f>
        <v>DETACH</v>
      </c>
      <c r="U45" s="13" t="str">
        <f aca="false">IF(O45="","",IF(O45="ASSIGN_COMPONENT",IF(P45&lt;&gt;"","OK","CHECK: component required"),IF(O45="HOLD_UNRESOLVED",IF(P45="","OK","CHECK: clear component"),IF(O45="REGISTRY_ISSUE",IF(R45&lt;&gt;"","OK","CHECK: note required"),"CHECK"))))</f>
        <v>OK</v>
      </c>
    </row>
    <row r="46" customFormat="false" ht="36" hidden="false" customHeight="true" outlineLevel="0" collapsed="false">
      <c r="A46" s="4" t="s">
        <v>378</v>
      </c>
      <c r="B46" s="4" t="s">
        <v>29</v>
      </c>
      <c r="C46" s="4" t="s">
        <v>353</v>
      </c>
      <c r="D46" s="4" t="s">
        <v>354</v>
      </c>
      <c r="E46" s="4" t="s">
        <v>354</v>
      </c>
      <c r="F46" s="4" t="s">
        <v>355</v>
      </c>
      <c r="G46" s="4" t="s">
        <v>379</v>
      </c>
      <c r="H46" s="4" t="s">
        <v>354</v>
      </c>
      <c r="I46" s="4" t="s">
        <v>380</v>
      </c>
      <c r="J46" s="4" t="s">
        <v>381</v>
      </c>
      <c r="K46" s="4" t="s">
        <v>382</v>
      </c>
      <c r="L46" s="4" t="s">
        <v>359</v>
      </c>
      <c r="M46" s="4"/>
      <c r="N46" s="4" t="s">
        <v>70</v>
      </c>
      <c r="O46" s="12" t="s">
        <v>71</v>
      </c>
      <c r="P46" s="12" t="s">
        <v>383</v>
      </c>
      <c r="Q46" s="12" t="s">
        <v>70</v>
      </c>
      <c r="R46" s="12" t="s">
        <v>384</v>
      </c>
      <c r="S46" s="13" t="str">
        <f aca="false">IF(P46="","",IFERROR(VLOOKUP(P46,Components!$E$2:$H$83,3,FALSE()),"INVALID"))</f>
        <v>Selected works / anthologies</v>
      </c>
      <c r="T46" s="13" t="str">
        <f aca="false">IF(P46="","",IFERROR(VLOOKUP(P46,Components!$E$2:$H$83,4,FALSE()),"INVALID"))</f>
        <v>SUCCESSOR</v>
      </c>
      <c r="U46" s="13" t="str">
        <f aca="false">IF(O46="","",IF(O46="ASSIGN_COMPONENT",IF(P46&lt;&gt;"","OK","CHECK: component required"),IF(O46="HOLD_UNRESOLVED",IF(P46="","OK","CHECK: clear component"),IF(O46="REGISTRY_ISSUE",IF(R46&lt;&gt;"","OK","CHECK: note required"),"CHECK"))))</f>
        <v>OK</v>
      </c>
    </row>
    <row r="47" customFormat="false" ht="36" hidden="false" customHeight="true" outlineLevel="0" collapsed="false">
      <c r="A47" s="4" t="s">
        <v>385</v>
      </c>
      <c r="B47" s="4" t="s">
        <v>29</v>
      </c>
      <c r="C47" s="4" t="s">
        <v>353</v>
      </c>
      <c r="D47" s="4" t="s">
        <v>354</v>
      </c>
      <c r="E47" s="4" t="s">
        <v>354</v>
      </c>
      <c r="F47" s="4" t="s">
        <v>355</v>
      </c>
      <c r="G47" s="4" t="s">
        <v>386</v>
      </c>
      <c r="H47" s="4" t="s">
        <v>354</v>
      </c>
      <c r="I47" s="4" t="s">
        <v>365</v>
      </c>
      <c r="J47" s="4" t="s">
        <v>381</v>
      </c>
      <c r="K47" s="4" t="s">
        <v>367</v>
      </c>
      <c r="L47" s="4" t="s">
        <v>359</v>
      </c>
      <c r="M47" s="4" t="s">
        <v>368</v>
      </c>
      <c r="N47" s="4" t="s">
        <v>70</v>
      </c>
      <c r="O47" s="12" t="s">
        <v>71</v>
      </c>
      <c r="P47" s="12" t="s">
        <v>361</v>
      </c>
      <c r="Q47" s="12" t="s">
        <v>70</v>
      </c>
      <c r="R47" s="12" t="s">
        <v>369</v>
      </c>
      <c r="S47" s="13" t="str">
        <f aca="false">IF(P47="","",IFERROR(VLOOKUP(P47,Components!$E$2:$H$83,3,FALSE()),"INVALID"))</f>
        <v>Secondary studies of Rimbaud</v>
      </c>
      <c r="T47" s="13" t="str">
        <f aca="false">IF(P47="","",IFERROR(VLOOKUP(P47,Components!$E$2:$H$83,4,FALSE()),"INVALID"))</f>
        <v>DETACH</v>
      </c>
      <c r="U47" s="13" t="str">
        <f aca="false">IF(O47="","",IF(O47="ASSIGN_COMPONENT",IF(P47&lt;&gt;"","OK","CHECK: component required"),IF(O47="HOLD_UNRESOLVED",IF(P47="","OK","CHECK: clear component"),IF(O47="REGISTRY_ISSUE",IF(R47&lt;&gt;"","OK","CHECK: note required"),"CHECK"))))</f>
        <v>OK</v>
      </c>
    </row>
    <row r="48" customFormat="false" ht="36" hidden="false" customHeight="true" outlineLevel="0" collapsed="false">
      <c r="A48" s="4" t="s">
        <v>387</v>
      </c>
      <c r="B48" s="4" t="s">
        <v>29</v>
      </c>
      <c r="C48" s="4" t="s">
        <v>353</v>
      </c>
      <c r="D48" s="4" t="s">
        <v>354</v>
      </c>
      <c r="E48" s="4" t="s">
        <v>354</v>
      </c>
      <c r="F48" s="4" t="s">
        <v>355</v>
      </c>
      <c r="G48" s="4" t="s">
        <v>388</v>
      </c>
      <c r="H48" s="4" t="s">
        <v>354</v>
      </c>
      <c r="I48" s="4"/>
      <c r="J48" s="4" t="s">
        <v>381</v>
      </c>
      <c r="K48" s="4" t="s">
        <v>367</v>
      </c>
      <c r="L48" s="4" t="s">
        <v>359</v>
      </c>
      <c r="M48" s="4" t="s">
        <v>368</v>
      </c>
      <c r="N48" s="4" t="s">
        <v>70</v>
      </c>
      <c r="O48" s="12" t="s">
        <v>71</v>
      </c>
      <c r="P48" s="12" t="s">
        <v>361</v>
      </c>
      <c r="Q48" s="12" t="s">
        <v>73</v>
      </c>
      <c r="R48" s="12" t="s">
        <v>373</v>
      </c>
      <c r="S48" s="13" t="str">
        <f aca="false">IF(P48="","",IFERROR(VLOOKUP(P48,Components!$E$2:$H$83,3,FALSE()),"INVALID"))</f>
        <v>Secondary studies of Rimbaud</v>
      </c>
      <c r="T48" s="13" t="str">
        <f aca="false">IF(P48="","",IFERROR(VLOOKUP(P48,Components!$E$2:$H$83,4,FALSE()),"INVALID"))</f>
        <v>DETACH</v>
      </c>
      <c r="U48" s="13" t="str">
        <f aca="false">IF(O48="","",IF(O48="ASSIGN_COMPONENT",IF(P48&lt;&gt;"","OK","CHECK: component required"),IF(O48="HOLD_UNRESOLVED",IF(P48="","OK","CHECK: clear component"),IF(O48="REGISTRY_ISSUE",IF(R48&lt;&gt;"","OK","CHECK: note required"),"CHECK"))))</f>
        <v>OK</v>
      </c>
    </row>
    <row r="49" customFormat="false" ht="36" hidden="false" customHeight="true" outlineLevel="0" collapsed="false">
      <c r="A49" s="4" t="s">
        <v>389</v>
      </c>
      <c r="B49" s="4" t="s">
        <v>29</v>
      </c>
      <c r="C49" s="4" t="s">
        <v>353</v>
      </c>
      <c r="D49" s="4" t="s">
        <v>354</v>
      </c>
      <c r="E49" s="4" t="s">
        <v>354</v>
      </c>
      <c r="F49" s="4" t="s">
        <v>355</v>
      </c>
      <c r="G49" s="4" t="s">
        <v>390</v>
      </c>
      <c r="H49" s="4" t="s">
        <v>354</v>
      </c>
      <c r="I49" s="4" t="s">
        <v>391</v>
      </c>
      <c r="J49" s="4" t="s">
        <v>392</v>
      </c>
      <c r="K49" s="4" t="s">
        <v>393</v>
      </c>
      <c r="L49" s="4" t="s">
        <v>359</v>
      </c>
      <c r="M49" s="4" t="s">
        <v>394</v>
      </c>
      <c r="N49" s="4" t="s">
        <v>70</v>
      </c>
      <c r="O49" s="12" t="s">
        <v>97</v>
      </c>
      <c r="P49" s="14"/>
      <c r="Q49" s="12" t="s">
        <v>73</v>
      </c>
      <c r="R49" s="12" t="s">
        <v>395</v>
      </c>
      <c r="S49" s="13" t="str">
        <f aca="false">IF(P49="","",IFERROR(VLOOKUP(P49,Components!$E$2:$H$83,3,FALSE()),"INVALID"))</f>
        <v/>
      </c>
      <c r="T49" s="13" t="str">
        <f aca="false">IF(P49="","",IFERROR(VLOOKUP(P49,Components!$E$2:$H$83,4,FALSE()),"INVALID"))</f>
        <v/>
      </c>
      <c r="U49" s="13" t="str">
        <f aca="false">IF(O49="","",IF(O49="ASSIGN_COMPONENT",IF(P49&lt;&gt;"","OK","CHECK: component required"),IF(O49="HOLD_UNRESOLVED",IF(P49="","OK","CHECK: clear component"),IF(O49="REGISTRY_ISSUE",IF(R49&lt;&gt;"","OK","CHECK: note required"),"CHECK"))))</f>
        <v>OK</v>
      </c>
    </row>
    <row r="50" customFormat="false" ht="36" hidden="false" customHeight="true" outlineLevel="0" collapsed="false">
      <c r="A50" s="4" t="s">
        <v>396</v>
      </c>
      <c r="B50" s="4" t="s">
        <v>397</v>
      </c>
      <c r="C50" s="4" t="s">
        <v>398</v>
      </c>
      <c r="D50" s="4" t="s">
        <v>399</v>
      </c>
      <c r="E50" s="4" t="s">
        <v>400</v>
      </c>
      <c r="F50" s="4" t="s">
        <v>401</v>
      </c>
      <c r="G50" s="4" t="s">
        <v>402</v>
      </c>
      <c r="H50" s="4" t="s">
        <v>399</v>
      </c>
      <c r="I50" s="4"/>
      <c r="J50" s="4"/>
      <c r="K50" s="4"/>
      <c r="L50" s="4" t="s">
        <v>403</v>
      </c>
      <c r="M50" s="4" t="s">
        <v>404</v>
      </c>
      <c r="N50" s="4" t="s">
        <v>70</v>
      </c>
      <c r="O50" s="12" t="s">
        <v>81</v>
      </c>
      <c r="P50" s="14"/>
      <c r="Q50" s="12" t="s">
        <v>405</v>
      </c>
      <c r="R50" s="12" t="s">
        <v>406</v>
      </c>
      <c r="S50" s="13" t="str">
        <f aca="false">IF(P50="","",IFERROR(VLOOKUP(P50,Components!$E$2:$H$83,3,FALSE()),"INVALID"))</f>
        <v/>
      </c>
      <c r="T50" s="13" t="str">
        <f aca="false">IF(P50="","",IFERROR(VLOOKUP(P50,Components!$E$2:$H$83,4,FALSE()),"INVALID"))</f>
        <v/>
      </c>
      <c r="U50" s="13" t="str">
        <f aca="false">IF(O50="","",IF(O50="ASSIGN_COMPONENT",IF(P50&lt;&gt;"","OK","CHECK: component required"),IF(O50="HOLD_UNRESOLVED",IF(P50="","OK","CHECK: clear component"),IF(O50="REGISTRY_ISSUE",IF(R50&lt;&gt;"","OK","CHECK: note required"),"CHECK"))))</f>
        <v>OK</v>
      </c>
    </row>
    <row r="51" customFormat="false" ht="36" hidden="false" customHeight="true" outlineLevel="0" collapsed="false">
      <c r="A51" s="4" t="s">
        <v>407</v>
      </c>
      <c r="B51" s="4" t="s">
        <v>397</v>
      </c>
      <c r="C51" s="4" t="s">
        <v>398</v>
      </c>
      <c r="D51" s="4" t="s">
        <v>399</v>
      </c>
      <c r="E51" s="4" t="s">
        <v>400</v>
      </c>
      <c r="F51" s="4" t="s">
        <v>401</v>
      </c>
      <c r="G51" s="4" t="s">
        <v>408</v>
      </c>
      <c r="H51" s="4" t="s">
        <v>409</v>
      </c>
      <c r="I51" s="4"/>
      <c r="J51" s="4" t="s">
        <v>410</v>
      </c>
      <c r="K51" s="4" t="s">
        <v>411</v>
      </c>
      <c r="L51" s="4" t="s">
        <v>403</v>
      </c>
      <c r="M51" s="4" t="s">
        <v>412</v>
      </c>
      <c r="N51" s="4" t="s">
        <v>70</v>
      </c>
      <c r="O51" s="12" t="s">
        <v>81</v>
      </c>
      <c r="P51" s="14"/>
      <c r="Q51" s="12" t="s">
        <v>73</v>
      </c>
      <c r="R51" s="12" t="s">
        <v>413</v>
      </c>
      <c r="S51" s="13" t="str">
        <f aca="false">IF(P51="","",IFERROR(VLOOKUP(P51,Components!$E$2:$H$83,3,FALSE()),"INVALID"))</f>
        <v/>
      </c>
      <c r="T51" s="13" t="str">
        <f aca="false">IF(P51="","",IFERROR(VLOOKUP(P51,Components!$E$2:$H$83,4,FALSE()),"INVALID"))</f>
        <v/>
      </c>
      <c r="U51" s="13" t="str">
        <f aca="false">IF(O51="","",IF(O51="ASSIGN_COMPONENT",IF(P51&lt;&gt;"","OK","CHECK: component required"),IF(O51="HOLD_UNRESOLVED",IF(P51="","OK","CHECK: clear component"),IF(O51="REGISTRY_ISSUE",IF(R51&lt;&gt;"","OK","CHECK: note required"),"CHECK"))))</f>
        <v>OK</v>
      </c>
    </row>
    <row r="52" customFormat="false" ht="36" hidden="false" customHeight="true" outlineLevel="0" collapsed="false">
      <c r="A52" s="4" t="s">
        <v>414</v>
      </c>
      <c r="B52" s="4" t="s">
        <v>397</v>
      </c>
      <c r="C52" s="4" t="s">
        <v>398</v>
      </c>
      <c r="D52" s="4" t="s">
        <v>399</v>
      </c>
      <c r="E52" s="4" t="s">
        <v>400</v>
      </c>
      <c r="F52" s="4" t="s">
        <v>401</v>
      </c>
      <c r="G52" s="4" t="s">
        <v>415</v>
      </c>
      <c r="H52" s="4" t="s">
        <v>409</v>
      </c>
      <c r="I52" s="4"/>
      <c r="J52" s="4" t="s">
        <v>410</v>
      </c>
      <c r="K52" s="4" t="s">
        <v>411</v>
      </c>
      <c r="L52" s="4" t="s">
        <v>403</v>
      </c>
      <c r="M52" s="4" t="s">
        <v>412</v>
      </c>
      <c r="N52" s="4" t="s">
        <v>70</v>
      </c>
      <c r="O52" s="12" t="s">
        <v>81</v>
      </c>
      <c r="P52" s="14"/>
      <c r="Q52" s="12" t="s">
        <v>73</v>
      </c>
      <c r="R52" s="12" t="s">
        <v>413</v>
      </c>
      <c r="S52" s="13" t="str">
        <f aca="false">IF(P52="","",IFERROR(VLOOKUP(P52,Components!$E$2:$H$83,3,FALSE()),"INVALID"))</f>
        <v/>
      </c>
      <c r="T52" s="13" t="str">
        <f aca="false">IF(P52="","",IFERROR(VLOOKUP(P52,Components!$E$2:$H$83,4,FALSE()),"INVALID"))</f>
        <v/>
      </c>
      <c r="U52" s="13" t="str">
        <f aca="false">IF(O52="","",IF(O52="ASSIGN_COMPONENT",IF(P52&lt;&gt;"","OK","CHECK: component required"),IF(O52="HOLD_UNRESOLVED",IF(P52="","OK","CHECK: clear component"),IF(O52="REGISTRY_ISSUE",IF(R52&lt;&gt;"","OK","CHECK: note required"),"CHECK"))))</f>
        <v>OK</v>
      </c>
    </row>
    <row r="53" customFormat="false" ht="36" hidden="false" customHeight="true" outlineLevel="0" collapsed="false">
      <c r="A53" s="4" t="s">
        <v>416</v>
      </c>
      <c r="B53" s="4" t="s">
        <v>397</v>
      </c>
      <c r="C53" s="4" t="s">
        <v>398</v>
      </c>
      <c r="D53" s="4" t="s">
        <v>399</v>
      </c>
      <c r="E53" s="4" t="s">
        <v>400</v>
      </c>
      <c r="F53" s="4" t="s">
        <v>401</v>
      </c>
      <c r="G53" s="4" t="s">
        <v>417</v>
      </c>
      <c r="H53" s="4" t="s">
        <v>399</v>
      </c>
      <c r="I53" s="4"/>
      <c r="J53" s="4" t="s">
        <v>410</v>
      </c>
      <c r="K53" s="4" t="s">
        <v>418</v>
      </c>
      <c r="L53" s="4" t="s">
        <v>403</v>
      </c>
      <c r="M53" s="4"/>
      <c r="N53" s="4" t="s">
        <v>70</v>
      </c>
      <c r="O53" s="12" t="s">
        <v>81</v>
      </c>
      <c r="P53" s="14"/>
      <c r="Q53" s="12" t="s">
        <v>73</v>
      </c>
      <c r="R53" s="12" t="s">
        <v>413</v>
      </c>
      <c r="S53" s="13" t="str">
        <f aca="false">IF(P53="","",IFERROR(VLOOKUP(P53,Components!$E$2:$H$83,3,FALSE()),"INVALID"))</f>
        <v/>
      </c>
      <c r="T53" s="13" t="str">
        <f aca="false">IF(P53="","",IFERROR(VLOOKUP(P53,Components!$E$2:$H$83,4,FALSE()),"INVALID"))</f>
        <v/>
      </c>
      <c r="U53" s="13" t="str">
        <f aca="false">IF(O53="","",IF(O53="ASSIGN_COMPONENT",IF(P53&lt;&gt;"","OK","CHECK: component required"),IF(O53="HOLD_UNRESOLVED",IF(P53="","OK","CHECK: clear component"),IF(O53="REGISTRY_ISSUE",IF(R53&lt;&gt;"","OK","CHECK: note required"),"CHECK"))))</f>
        <v>OK</v>
      </c>
    </row>
    <row r="54" customFormat="false" ht="36" hidden="false" customHeight="true" outlineLevel="0" collapsed="false">
      <c r="A54" s="4" t="s">
        <v>419</v>
      </c>
      <c r="B54" s="4" t="s">
        <v>397</v>
      </c>
      <c r="C54" s="4" t="s">
        <v>398</v>
      </c>
      <c r="D54" s="4" t="s">
        <v>399</v>
      </c>
      <c r="E54" s="4" t="s">
        <v>400</v>
      </c>
      <c r="F54" s="4" t="s">
        <v>401</v>
      </c>
      <c r="G54" s="4" t="s">
        <v>420</v>
      </c>
      <c r="H54" s="4" t="s">
        <v>409</v>
      </c>
      <c r="I54" s="4"/>
      <c r="J54" s="4" t="s">
        <v>410</v>
      </c>
      <c r="K54" s="4" t="s">
        <v>418</v>
      </c>
      <c r="L54" s="4" t="s">
        <v>403</v>
      </c>
      <c r="M54" s="4" t="s">
        <v>421</v>
      </c>
      <c r="N54" s="4" t="s">
        <v>70</v>
      </c>
      <c r="O54" s="12" t="s">
        <v>81</v>
      </c>
      <c r="P54" s="14"/>
      <c r="Q54" s="12" t="s">
        <v>73</v>
      </c>
      <c r="R54" s="12" t="s">
        <v>413</v>
      </c>
      <c r="S54" s="13" t="str">
        <f aca="false">IF(P54="","",IFERROR(VLOOKUP(P54,Components!$E$2:$H$83,3,FALSE()),"INVALID"))</f>
        <v/>
      </c>
      <c r="T54" s="13" t="str">
        <f aca="false">IF(P54="","",IFERROR(VLOOKUP(P54,Components!$E$2:$H$83,4,FALSE()),"INVALID"))</f>
        <v/>
      </c>
      <c r="U54" s="13" t="str">
        <f aca="false">IF(O54="","",IF(O54="ASSIGN_COMPONENT",IF(P54&lt;&gt;"","OK","CHECK: component required"),IF(O54="HOLD_UNRESOLVED",IF(P54="","OK","CHECK: clear component"),IF(O54="REGISTRY_ISSUE",IF(R54&lt;&gt;"","OK","CHECK: note required"),"CHECK"))))</f>
        <v>OK</v>
      </c>
    </row>
    <row r="55" customFormat="false" ht="36" hidden="false" customHeight="true" outlineLevel="0" collapsed="false">
      <c r="A55" s="4" t="s">
        <v>422</v>
      </c>
      <c r="B55" s="4" t="s">
        <v>397</v>
      </c>
      <c r="C55" s="4" t="s">
        <v>398</v>
      </c>
      <c r="D55" s="4" t="s">
        <v>399</v>
      </c>
      <c r="E55" s="4" t="s">
        <v>400</v>
      </c>
      <c r="F55" s="4" t="s">
        <v>401</v>
      </c>
      <c r="G55" s="4" t="s">
        <v>423</v>
      </c>
      <c r="H55" s="4" t="s">
        <v>409</v>
      </c>
      <c r="I55" s="4"/>
      <c r="J55" s="4" t="s">
        <v>128</v>
      </c>
      <c r="K55" s="4" t="s">
        <v>424</v>
      </c>
      <c r="L55" s="4" t="s">
        <v>403</v>
      </c>
      <c r="M55" s="4"/>
      <c r="N55" s="4" t="s">
        <v>70</v>
      </c>
      <c r="O55" s="12" t="s">
        <v>81</v>
      </c>
      <c r="P55" s="14"/>
      <c r="Q55" s="12" t="s">
        <v>73</v>
      </c>
      <c r="R55" s="12" t="s">
        <v>413</v>
      </c>
      <c r="S55" s="13" t="str">
        <f aca="false">IF(P55="","",IFERROR(VLOOKUP(P55,Components!$E$2:$H$83,3,FALSE()),"INVALID"))</f>
        <v/>
      </c>
      <c r="T55" s="13" t="str">
        <f aca="false">IF(P55="","",IFERROR(VLOOKUP(P55,Components!$E$2:$H$83,4,FALSE()),"INVALID"))</f>
        <v/>
      </c>
      <c r="U55" s="13" t="str">
        <f aca="false">IF(O55="","",IF(O55="ASSIGN_COMPONENT",IF(P55&lt;&gt;"","OK","CHECK: component required"),IF(O55="HOLD_UNRESOLVED",IF(P55="","OK","CHECK: clear component"),IF(O55="REGISTRY_ISSUE",IF(R55&lt;&gt;"","OK","CHECK: note required"),"CHECK"))))</f>
        <v>OK</v>
      </c>
    </row>
    <row r="56" customFormat="false" ht="36" hidden="false" customHeight="true" outlineLevel="0" collapsed="false">
      <c r="A56" s="4" t="s">
        <v>425</v>
      </c>
      <c r="B56" s="4" t="s">
        <v>397</v>
      </c>
      <c r="C56" s="4" t="s">
        <v>398</v>
      </c>
      <c r="D56" s="4" t="s">
        <v>399</v>
      </c>
      <c r="E56" s="4" t="s">
        <v>400</v>
      </c>
      <c r="F56" s="4" t="s">
        <v>401</v>
      </c>
      <c r="G56" s="4" t="s">
        <v>426</v>
      </c>
      <c r="H56" s="4" t="s">
        <v>399</v>
      </c>
      <c r="I56" s="4" t="s">
        <v>427</v>
      </c>
      <c r="J56" s="4" t="s">
        <v>428</v>
      </c>
      <c r="K56" s="4" t="s">
        <v>429</v>
      </c>
      <c r="L56" s="4" t="s">
        <v>403</v>
      </c>
      <c r="M56" s="4" t="s">
        <v>430</v>
      </c>
      <c r="N56" s="4" t="s">
        <v>70</v>
      </c>
      <c r="O56" s="12" t="s">
        <v>71</v>
      </c>
      <c r="P56" s="12" t="s">
        <v>431</v>
      </c>
      <c r="Q56" s="12" t="s">
        <v>70</v>
      </c>
      <c r="R56" s="12" t="s">
        <v>432</v>
      </c>
      <c r="S56" s="13" t="str">
        <f aca="false">IF(P56="","",IFERROR(VLOOKUP(P56,Components!$E$2:$H$83,3,FALSE()),"INVALID"))</f>
        <v>Multi-volume Loeb Josephus</v>
      </c>
      <c r="T56" s="13" t="str">
        <f aca="false">IF(P56="","",IFERROR(VLOOKUP(P56,Components!$E$2:$H$83,4,FALSE()),"INVALID"))</f>
        <v>SUCCESSOR</v>
      </c>
      <c r="U56" s="13" t="str">
        <f aca="false">IF(O56="","",IF(O56="ASSIGN_COMPONENT",IF(P56&lt;&gt;"","OK","CHECK: component required"),IF(O56="HOLD_UNRESOLVED",IF(P56="","OK","CHECK: clear component"),IF(O56="REGISTRY_ISSUE",IF(R56&lt;&gt;"","OK","CHECK: note required"),"CHECK"))))</f>
        <v>OK</v>
      </c>
    </row>
    <row r="57" customFormat="false" ht="36" hidden="false" customHeight="true" outlineLevel="0" collapsed="false">
      <c r="A57" s="4" t="s">
        <v>433</v>
      </c>
      <c r="B57" s="4" t="s">
        <v>397</v>
      </c>
      <c r="C57" s="4" t="s">
        <v>398</v>
      </c>
      <c r="D57" s="4" t="s">
        <v>399</v>
      </c>
      <c r="E57" s="4" t="s">
        <v>400</v>
      </c>
      <c r="F57" s="4" t="s">
        <v>401</v>
      </c>
      <c r="G57" s="4" t="s">
        <v>434</v>
      </c>
      <c r="H57" s="4" t="s">
        <v>399</v>
      </c>
      <c r="I57" s="4"/>
      <c r="J57" s="4" t="s">
        <v>366</v>
      </c>
      <c r="K57" s="4" t="s">
        <v>435</v>
      </c>
      <c r="L57" s="4" t="s">
        <v>403</v>
      </c>
      <c r="M57" s="4"/>
      <c r="N57" s="4" t="s">
        <v>70</v>
      </c>
      <c r="O57" s="12" t="s">
        <v>81</v>
      </c>
      <c r="P57" s="14"/>
      <c r="Q57" s="12" t="s">
        <v>73</v>
      </c>
      <c r="R57" s="12" t="s">
        <v>413</v>
      </c>
      <c r="S57" s="13" t="str">
        <f aca="false">IF(P57="","",IFERROR(VLOOKUP(P57,Components!$E$2:$H$83,3,FALSE()),"INVALID"))</f>
        <v/>
      </c>
      <c r="T57" s="13" t="str">
        <f aca="false">IF(P57="","",IFERROR(VLOOKUP(P57,Components!$E$2:$H$83,4,FALSE()),"INVALID"))</f>
        <v/>
      </c>
      <c r="U57" s="13" t="str">
        <f aca="false">IF(O57="","",IF(O57="ASSIGN_COMPONENT",IF(P57&lt;&gt;"","OK","CHECK: component required"),IF(O57="HOLD_UNRESOLVED",IF(P57="","OK","CHECK: clear component"),IF(O57="REGISTRY_ISSUE",IF(R57&lt;&gt;"","OK","CHECK: note required"),"CHECK"))))</f>
        <v>OK</v>
      </c>
    </row>
    <row r="58" customFormat="false" ht="36" hidden="false" customHeight="true" outlineLevel="0" collapsed="false">
      <c r="A58" s="4" t="s">
        <v>436</v>
      </c>
      <c r="B58" s="4" t="s">
        <v>397</v>
      </c>
      <c r="C58" s="4" t="s">
        <v>398</v>
      </c>
      <c r="D58" s="4" t="s">
        <v>399</v>
      </c>
      <c r="E58" s="4" t="s">
        <v>400</v>
      </c>
      <c r="F58" s="4" t="s">
        <v>401</v>
      </c>
      <c r="G58" s="4" t="s">
        <v>437</v>
      </c>
      <c r="H58" s="4" t="s">
        <v>399</v>
      </c>
      <c r="I58" s="4"/>
      <c r="J58" s="4" t="s">
        <v>366</v>
      </c>
      <c r="K58" s="4" t="s">
        <v>438</v>
      </c>
      <c r="L58" s="4" t="s">
        <v>403</v>
      </c>
      <c r="M58" s="4"/>
      <c r="N58" s="4" t="s">
        <v>70</v>
      </c>
      <c r="O58" s="12" t="s">
        <v>81</v>
      </c>
      <c r="P58" s="14"/>
      <c r="Q58" s="12" t="s">
        <v>73</v>
      </c>
      <c r="R58" s="12" t="s">
        <v>413</v>
      </c>
      <c r="S58" s="13" t="str">
        <f aca="false">IF(P58="","",IFERROR(VLOOKUP(P58,Components!$E$2:$H$83,3,FALSE()),"INVALID"))</f>
        <v/>
      </c>
      <c r="T58" s="13" t="str">
        <f aca="false">IF(P58="","",IFERROR(VLOOKUP(P58,Components!$E$2:$H$83,4,FALSE()),"INVALID"))</f>
        <v/>
      </c>
      <c r="U58" s="13" t="str">
        <f aca="false">IF(O58="","",IF(O58="ASSIGN_COMPONENT",IF(P58&lt;&gt;"","OK","CHECK: component required"),IF(O58="HOLD_UNRESOLVED",IF(P58="","OK","CHECK: clear component"),IF(O58="REGISTRY_ISSUE",IF(R58&lt;&gt;"","OK","CHECK: note required"),"CHECK"))))</f>
        <v>OK</v>
      </c>
    </row>
    <row r="59" customFormat="false" ht="36" hidden="false" customHeight="true" outlineLevel="0" collapsed="false">
      <c r="A59" s="4" t="s">
        <v>439</v>
      </c>
      <c r="B59" s="4" t="s">
        <v>397</v>
      </c>
      <c r="C59" s="4" t="s">
        <v>398</v>
      </c>
      <c r="D59" s="4" t="s">
        <v>399</v>
      </c>
      <c r="E59" s="4" t="s">
        <v>400</v>
      </c>
      <c r="F59" s="4" t="s">
        <v>401</v>
      </c>
      <c r="G59" s="4" t="s">
        <v>440</v>
      </c>
      <c r="H59" s="4" t="s">
        <v>399</v>
      </c>
      <c r="I59" s="4"/>
      <c r="J59" s="4" t="s">
        <v>366</v>
      </c>
      <c r="K59" s="4" t="s">
        <v>438</v>
      </c>
      <c r="L59" s="4" t="s">
        <v>403</v>
      </c>
      <c r="M59" s="4"/>
      <c r="N59" s="4" t="s">
        <v>70</v>
      </c>
      <c r="O59" s="12" t="s">
        <v>81</v>
      </c>
      <c r="P59" s="14"/>
      <c r="Q59" s="12" t="s">
        <v>73</v>
      </c>
      <c r="R59" s="12" t="s">
        <v>413</v>
      </c>
      <c r="S59" s="13" t="str">
        <f aca="false">IF(P59="","",IFERROR(VLOOKUP(P59,Components!$E$2:$H$83,3,FALSE()),"INVALID"))</f>
        <v/>
      </c>
      <c r="T59" s="13" t="str">
        <f aca="false">IF(P59="","",IFERROR(VLOOKUP(P59,Components!$E$2:$H$83,4,FALSE()),"INVALID"))</f>
        <v/>
      </c>
      <c r="U59" s="13" t="str">
        <f aca="false">IF(O59="","",IF(O59="ASSIGN_COMPONENT",IF(P59&lt;&gt;"","OK","CHECK: component required"),IF(O59="HOLD_UNRESOLVED",IF(P59="","OK","CHECK: clear component"),IF(O59="REGISTRY_ISSUE",IF(R59&lt;&gt;"","OK","CHECK: note required"),"CHECK"))))</f>
        <v>OK</v>
      </c>
    </row>
    <row r="60" customFormat="false" ht="36" hidden="false" customHeight="true" outlineLevel="0" collapsed="false">
      <c r="A60" s="4" t="s">
        <v>441</v>
      </c>
      <c r="B60" s="4" t="s">
        <v>397</v>
      </c>
      <c r="C60" s="4" t="s">
        <v>398</v>
      </c>
      <c r="D60" s="4" t="s">
        <v>399</v>
      </c>
      <c r="E60" s="4" t="s">
        <v>400</v>
      </c>
      <c r="F60" s="4" t="s">
        <v>401</v>
      </c>
      <c r="G60" s="4" t="s">
        <v>442</v>
      </c>
      <c r="H60" s="4" t="s">
        <v>409</v>
      </c>
      <c r="I60" s="4" t="s">
        <v>443</v>
      </c>
      <c r="J60" s="4" t="s">
        <v>444</v>
      </c>
      <c r="K60" s="4" t="s">
        <v>411</v>
      </c>
      <c r="L60" s="4" t="s">
        <v>403</v>
      </c>
      <c r="M60" s="4"/>
      <c r="N60" s="4" t="s">
        <v>70</v>
      </c>
      <c r="O60" s="12" t="s">
        <v>71</v>
      </c>
      <c r="P60" s="12" t="s">
        <v>431</v>
      </c>
      <c r="Q60" s="12" t="s">
        <v>70</v>
      </c>
      <c r="R60" s="12" t="s">
        <v>445</v>
      </c>
      <c r="S60" s="13" t="str">
        <f aca="false">IF(P60="","",IFERROR(VLOOKUP(P60,Components!$E$2:$H$83,3,FALSE()),"INVALID"))</f>
        <v>Multi-volume Loeb Josephus</v>
      </c>
      <c r="T60" s="13" t="str">
        <f aca="false">IF(P60="","",IFERROR(VLOOKUP(P60,Components!$E$2:$H$83,4,FALSE()),"INVALID"))</f>
        <v>SUCCESSOR</v>
      </c>
      <c r="U60" s="13" t="str">
        <f aca="false">IF(O60="","",IF(O60="ASSIGN_COMPONENT",IF(P60&lt;&gt;"","OK","CHECK: component required"),IF(O60="HOLD_UNRESOLVED",IF(P60="","OK","CHECK: clear component"),IF(O60="REGISTRY_ISSUE",IF(R60&lt;&gt;"","OK","CHECK: note required"),"CHECK"))))</f>
        <v>OK</v>
      </c>
    </row>
    <row r="61" customFormat="false" ht="36" hidden="false" customHeight="true" outlineLevel="0" collapsed="false">
      <c r="A61" s="4" t="s">
        <v>446</v>
      </c>
      <c r="B61" s="4" t="s">
        <v>397</v>
      </c>
      <c r="C61" s="4" t="s">
        <v>398</v>
      </c>
      <c r="D61" s="4" t="s">
        <v>399</v>
      </c>
      <c r="E61" s="4" t="s">
        <v>400</v>
      </c>
      <c r="F61" s="4" t="s">
        <v>401</v>
      </c>
      <c r="G61" s="4" t="s">
        <v>447</v>
      </c>
      <c r="H61" s="4" t="s">
        <v>399</v>
      </c>
      <c r="I61" s="4"/>
      <c r="J61" s="4" t="s">
        <v>444</v>
      </c>
      <c r="K61" s="4" t="s">
        <v>438</v>
      </c>
      <c r="L61" s="4" t="s">
        <v>403</v>
      </c>
      <c r="M61" s="4"/>
      <c r="N61" s="4" t="s">
        <v>70</v>
      </c>
      <c r="O61" s="12" t="s">
        <v>81</v>
      </c>
      <c r="P61" s="14"/>
      <c r="Q61" s="12" t="s">
        <v>73</v>
      </c>
      <c r="R61" s="12" t="s">
        <v>413</v>
      </c>
      <c r="S61" s="13" t="str">
        <f aca="false">IF(P61="","",IFERROR(VLOOKUP(P61,Components!$E$2:$H$83,3,FALSE()),"INVALID"))</f>
        <v/>
      </c>
      <c r="T61" s="13" t="str">
        <f aca="false">IF(P61="","",IFERROR(VLOOKUP(P61,Components!$E$2:$H$83,4,FALSE()),"INVALID"))</f>
        <v/>
      </c>
      <c r="U61" s="13" t="str">
        <f aca="false">IF(O61="","",IF(O61="ASSIGN_COMPONENT",IF(P61&lt;&gt;"","OK","CHECK: component required"),IF(O61="HOLD_UNRESOLVED",IF(P61="","OK","CHECK: clear component"),IF(O61="REGISTRY_ISSUE",IF(R61&lt;&gt;"","OK","CHECK: note required"),"CHECK"))))</f>
        <v>OK</v>
      </c>
    </row>
    <row r="62" customFormat="false" ht="36" hidden="false" customHeight="true" outlineLevel="0" collapsed="false">
      <c r="A62" s="4" t="s">
        <v>448</v>
      </c>
      <c r="B62" s="4" t="s">
        <v>397</v>
      </c>
      <c r="C62" s="4" t="s">
        <v>398</v>
      </c>
      <c r="D62" s="4" t="s">
        <v>399</v>
      </c>
      <c r="E62" s="4" t="s">
        <v>400</v>
      </c>
      <c r="F62" s="4" t="s">
        <v>401</v>
      </c>
      <c r="G62" s="4" t="s">
        <v>449</v>
      </c>
      <c r="H62" s="4" t="s">
        <v>399</v>
      </c>
      <c r="I62" s="4"/>
      <c r="J62" s="4" t="s">
        <v>444</v>
      </c>
      <c r="K62" s="4" t="s">
        <v>438</v>
      </c>
      <c r="L62" s="4" t="s">
        <v>403</v>
      </c>
      <c r="M62" s="4"/>
      <c r="N62" s="4" t="s">
        <v>70</v>
      </c>
      <c r="O62" s="12" t="s">
        <v>81</v>
      </c>
      <c r="P62" s="14"/>
      <c r="Q62" s="12" t="s">
        <v>73</v>
      </c>
      <c r="R62" s="12" t="s">
        <v>413</v>
      </c>
      <c r="S62" s="13" t="str">
        <f aca="false">IF(P62="","",IFERROR(VLOOKUP(P62,Components!$E$2:$H$83,3,FALSE()),"INVALID"))</f>
        <v/>
      </c>
      <c r="T62" s="13" t="str">
        <f aca="false">IF(P62="","",IFERROR(VLOOKUP(P62,Components!$E$2:$H$83,4,FALSE()),"INVALID"))</f>
        <v/>
      </c>
      <c r="U62" s="13" t="str">
        <f aca="false">IF(O62="","",IF(O62="ASSIGN_COMPONENT",IF(P62&lt;&gt;"","OK","CHECK: component required"),IF(O62="HOLD_UNRESOLVED",IF(P62="","OK","CHECK: clear component"),IF(O62="REGISTRY_ISSUE",IF(R62&lt;&gt;"","OK","CHECK: note required"),"CHECK"))))</f>
        <v>OK</v>
      </c>
    </row>
    <row r="63" customFormat="false" ht="36" hidden="false" customHeight="true" outlineLevel="0" collapsed="false">
      <c r="A63" s="4" t="s">
        <v>450</v>
      </c>
      <c r="B63" s="4" t="s">
        <v>397</v>
      </c>
      <c r="C63" s="4" t="s">
        <v>398</v>
      </c>
      <c r="D63" s="4" t="s">
        <v>399</v>
      </c>
      <c r="E63" s="4" t="s">
        <v>400</v>
      </c>
      <c r="F63" s="4" t="s">
        <v>401</v>
      </c>
      <c r="G63" s="4" t="s">
        <v>451</v>
      </c>
      <c r="H63" s="4" t="s">
        <v>399</v>
      </c>
      <c r="I63" s="4"/>
      <c r="J63" s="4" t="s">
        <v>452</v>
      </c>
      <c r="K63" s="4" t="s">
        <v>453</v>
      </c>
      <c r="L63" s="4" t="s">
        <v>403</v>
      </c>
      <c r="M63" s="4"/>
      <c r="N63" s="4" t="s">
        <v>70</v>
      </c>
      <c r="O63" s="12" t="s">
        <v>81</v>
      </c>
      <c r="P63" s="14"/>
      <c r="Q63" s="12" t="s">
        <v>73</v>
      </c>
      <c r="R63" s="12" t="s">
        <v>413</v>
      </c>
      <c r="S63" s="13" t="str">
        <f aca="false">IF(P63="","",IFERROR(VLOOKUP(P63,Components!$E$2:$H$83,3,FALSE()),"INVALID"))</f>
        <v/>
      </c>
      <c r="T63" s="13" t="str">
        <f aca="false">IF(P63="","",IFERROR(VLOOKUP(P63,Components!$E$2:$H$83,4,FALSE()),"INVALID"))</f>
        <v/>
      </c>
      <c r="U63" s="13" t="str">
        <f aca="false">IF(O63="","",IF(O63="ASSIGN_COMPONENT",IF(P63&lt;&gt;"","OK","CHECK: component required"),IF(O63="HOLD_UNRESOLVED",IF(P63="","OK","CHECK: clear component"),IF(O63="REGISTRY_ISSUE",IF(R63&lt;&gt;"","OK","CHECK: note required"),"CHECK"))))</f>
        <v>OK</v>
      </c>
    </row>
    <row r="64" customFormat="false" ht="36" hidden="false" customHeight="true" outlineLevel="0" collapsed="false">
      <c r="A64" s="4" t="s">
        <v>454</v>
      </c>
      <c r="B64" s="4" t="s">
        <v>397</v>
      </c>
      <c r="C64" s="4" t="s">
        <v>398</v>
      </c>
      <c r="D64" s="4" t="s">
        <v>399</v>
      </c>
      <c r="E64" s="4" t="s">
        <v>400</v>
      </c>
      <c r="F64" s="4" t="s">
        <v>401</v>
      </c>
      <c r="G64" s="4" t="s">
        <v>455</v>
      </c>
      <c r="H64" s="4" t="s">
        <v>399</v>
      </c>
      <c r="I64" s="4"/>
      <c r="J64" s="4" t="s">
        <v>456</v>
      </c>
      <c r="K64" s="4" t="s">
        <v>457</v>
      </c>
      <c r="L64" s="4" t="s">
        <v>403</v>
      </c>
      <c r="M64" s="4"/>
      <c r="N64" s="4" t="s">
        <v>70</v>
      </c>
      <c r="O64" s="12" t="s">
        <v>81</v>
      </c>
      <c r="P64" s="14"/>
      <c r="Q64" s="12" t="s">
        <v>73</v>
      </c>
      <c r="R64" s="12" t="s">
        <v>413</v>
      </c>
      <c r="S64" s="13" t="str">
        <f aca="false">IF(P64="","",IFERROR(VLOOKUP(P64,Components!$E$2:$H$83,3,FALSE()),"INVALID"))</f>
        <v/>
      </c>
      <c r="T64" s="13" t="str">
        <f aca="false">IF(P64="","",IFERROR(VLOOKUP(P64,Components!$E$2:$H$83,4,FALSE()),"INVALID"))</f>
        <v/>
      </c>
      <c r="U64" s="13" t="str">
        <f aca="false">IF(O64="","",IF(O64="ASSIGN_COMPONENT",IF(P64&lt;&gt;"","OK","CHECK: component required"),IF(O64="HOLD_UNRESOLVED",IF(P64="","OK","CHECK: clear component"),IF(O64="REGISTRY_ISSUE",IF(R64&lt;&gt;"","OK","CHECK: note required"),"CHECK"))))</f>
        <v>OK</v>
      </c>
    </row>
    <row r="65" customFormat="false" ht="36" hidden="false" customHeight="true" outlineLevel="0" collapsed="false">
      <c r="A65" s="4" t="s">
        <v>458</v>
      </c>
      <c r="B65" s="4" t="s">
        <v>397</v>
      </c>
      <c r="C65" s="4" t="s">
        <v>398</v>
      </c>
      <c r="D65" s="4" t="s">
        <v>399</v>
      </c>
      <c r="E65" s="4" t="s">
        <v>400</v>
      </c>
      <c r="F65" s="4" t="s">
        <v>401</v>
      </c>
      <c r="G65" s="4" t="s">
        <v>459</v>
      </c>
      <c r="H65" s="4" t="s">
        <v>399</v>
      </c>
      <c r="I65" s="4"/>
      <c r="J65" s="4" t="s">
        <v>139</v>
      </c>
      <c r="K65" s="4" t="s">
        <v>411</v>
      </c>
      <c r="L65" s="4" t="s">
        <v>403</v>
      </c>
      <c r="M65" s="4"/>
      <c r="N65" s="4" t="s">
        <v>70</v>
      </c>
      <c r="O65" s="12" t="s">
        <v>81</v>
      </c>
      <c r="P65" s="14"/>
      <c r="Q65" s="12" t="s">
        <v>73</v>
      </c>
      <c r="R65" s="12" t="s">
        <v>413</v>
      </c>
      <c r="S65" s="13" t="str">
        <f aca="false">IF(P65="","",IFERROR(VLOOKUP(P65,Components!$E$2:$H$83,3,FALSE()),"INVALID"))</f>
        <v/>
      </c>
      <c r="T65" s="13" t="str">
        <f aca="false">IF(P65="","",IFERROR(VLOOKUP(P65,Components!$E$2:$H$83,4,FALSE()),"INVALID"))</f>
        <v/>
      </c>
      <c r="U65" s="13" t="str">
        <f aca="false">IF(O65="","",IF(O65="ASSIGN_COMPONENT",IF(P65&lt;&gt;"","OK","CHECK: component required"),IF(O65="HOLD_UNRESOLVED",IF(P65="","OK","CHECK: clear component"),IF(O65="REGISTRY_ISSUE",IF(R65&lt;&gt;"","OK","CHECK: note required"),"CHECK"))))</f>
        <v>OK</v>
      </c>
    </row>
    <row r="66" customFormat="false" ht="36" hidden="false" customHeight="true" outlineLevel="0" collapsed="false">
      <c r="A66" s="4" t="s">
        <v>460</v>
      </c>
      <c r="B66" s="4" t="s">
        <v>397</v>
      </c>
      <c r="C66" s="4" t="s">
        <v>398</v>
      </c>
      <c r="D66" s="4" t="s">
        <v>399</v>
      </c>
      <c r="E66" s="4" t="s">
        <v>400</v>
      </c>
      <c r="F66" s="4" t="s">
        <v>401</v>
      </c>
      <c r="G66" s="4" t="s">
        <v>461</v>
      </c>
      <c r="H66" s="4" t="s">
        <v>399</v>
      </c>
      <c r="I66" s="4" t="s">
        <v>462</v>
      </c>
      <c r="J66" s="4" t="s">
        <v>463</v>
      </c>
      <c r="K66" s="4" t="s">
        <v>411</v>
      </c>
      <c r="L66" s="4" t="s">
        <v>403</v>
      </c>
      <c r="M66" s="4"/>
      <c r="N66" s="4" t="s">
        <v>70</v>
      </c>
      <c r="O66" s="12" t="s">
        <v>71</v>
      </c>
      <c r="P66" s="12" t="s">
        <v>431</v>
      </c>
      <c r="Q66" s="12" t="s">
        <v>73</v>
      </c>
      <c r="R66" s="12" t="s">
        <v>464</v>
      </c>
      <c r="S66" s="13" t="str">
        <f aca="false">IF(P66="","",IFERROR(VLOOKUP(P66,Components!$E$2:$H$83,3,FALSE()),"INVALID"))</f>
        <v>Multi-volume Loeb Josephus</v>
      </c>
      <c r="T66" s="13" t="str">
        <f aca="false">IF(P66="","",IFERROR(VLOOKUP(P66,Components!$E$2:$H$83,4,FALSE()),"INVALID"))</f>
        <v>SUCCESSOR</v>
      </c>
      <c r="U66" s="13" t="str">
        <f aca="false">IF(O66="","",IF(O66="ASSIGN_COMPONENT",IF(P66&lt;&gt;"","OK","CHECK: component required"),IF(O66="HOLD_UNRESOLVED",IF(P66="","OK","CHECK: clear component"),IF(O66="REGISTRY_ISSUE",IF(R66&lt;&gt;"","OK","CHECK: note required"),"CHECK"))))</f>
        <v>OK</v>
      </c>
    </row>
    <row r="67" customFormat="false" ht="36" hidden="false" customHeight="true" outlineLevel="0" collapsed="false">
      <c r="A67" s="4" t="s">
        <v>465</v>
      </c>
      <c r="B67" s="4" t="s">
        <v>397</v>
      </c>
      <c r="C67" s="4" t="s">
        <v>398</v>
      </c>
      <c r="D67" s="4" t="s">
        <v>399</v>
      </c>
      <c r="E67" s="4" t="s">
        <v>400</v>
      </c>
      <c r="F67" s="4" t="s">
        <v>401</v>
      </c>
      <c r="G67" s="4" t="s">
        <v>466</v>
      </c>
      <c r="H67" s="4" t="s">
        <v>409</v>
      </c>
      <c r="I67" s="4"/>
      <c r="J67" s="4" t="s">
        <v>467</v>
      </c>
      <c r="K67" s="4" t="s">
        <v>411</v>
      </c>
      <c r="L67" s="4" t="s">
        <v>403</v>
      </c>
      <c r="M67" s="4" t="s">
        <v>468</v>
      </c>
      <c r="N67" s="4" t="s">
        <v>70</v>
      </c>
      <c r="O67" s="12" t="s">
        <v>81</v>
      </c>
      <c r="P67" s="14"/>
      <c r="Q67" s="12" t="s">
        <v>73</v>
      </c>
      <c r="R67" s="12" t="s">
        <v>413</v>
      </c>
      <c r="S67" s="13" t="str">
        <f aca="false">IF(P67="","",IFERROR(VLOOKUP(P67,Components!$E$2:$H$83,3,FALSE()),"INVALID"))</f>
        <v/>
      </c>
      <c r="T67" s="13" t="str">
        <f aca="false">IF(P67="","",IFERROR(VLOOKUP(P67,Components!$E$2:$H$83,4,FALSE()),"INVALID"))</f>
        <v/>
      </c>
      <c r="U67" s="13" t="str">
        <f aca="false">IF(O67="","",IF(O67="ASSIGN_COMPONENT",IF(P67&lt;&gt;"","OK","CHECK: component required"),IF(O67="HOLD_UNRESOLVED",IF(P67="","OK","CHECK: clear component"),IF(O67="REGISTRY_ISSUE",IF(R67&lt;&gt;"","OK","CHECK: note required"),"CHECK"))))</f>
        <v>OK</v>
      </c>
    </row>
    <row r="68" customFormat="false" ht="36" hidden="false" customHeight="true" outlineLevel="0" collapsed="false">
      <c r="A68" s="4" t="s">
        <v>469</v>
      </c>
      <c r="B68" s="4" t="s">
        <v>397</v>
      </c>
      <c r="C68" s="4" t="s">
        <v>398</v>
      </c>
      <c r="D68" s="4" t="s">
        <v>399</v>
      </c>
      <c r="E68" s="4" t="s">
        <v>400</v>
      </c>
      <c r="F68" s="4" t="s">
        <v>401</v>
      </c>
      <c r="G68" s="4" t="s">
        <v>470</v>
      </c>
      <c r="H68" s="4" t="s">
        <v>409</v>
      </c>
      <c r="I68" s="4"/>
      <c r="J68" s="4" t="s">
        <v>467</v>
      </c>
      <c r="K68" s="4" t="s">
        <v>411</v>
      </c>
      <c r="L68" s="4" t="s">
        <v>403</v>
      </c>
      <c r="M68" s="4" t="s">
        <v>471</v>
      </c>
      <c r="N68" s="4" t="s">
        <v>70</v>
      </c>
      <c r="O68" s="12" t="s">
        <v>81</v>
      </c>
      <c r="P68" s="14"/>
      <c r="Q68" s="12" t="s">
        <v>73</v>
      </c>
      <c r="R68" s="12" t="s">
        <v>413</v>
      </c>
      <c r="S68" s="13" t="str">
        <f aca="false">IF(P68="","",IFERROR(VLOOKUP(P68,Components!$E$2:$H$83,3,FALSE()),"INVALID"))</f>
        <v/>
      </c>
      <c r="T68" s="13" t="str">
        <f aca="false">IF(P68="","",IFERROR(VLOOKUP(P68,Components!$E$2:$H$83,4,FALSE()),"INVALID"))</f>
        <v/>
      </c>
      <c r="U68" s="13" t="str">
        <f aca="false">IF(O68="","",IF(O68="ASSIGN_COMPONENT",IF(P68&lt;&gt;"","OK","CHECK: component required"),IF(O68="HOLD_UNRESOLVED",IF(P68="","OK","CHECK: clear component"),IF(O68="REGISTRY_ISSUE",IF(R68&lt;&gt;"","OK","CHECK: note required"),"CHECK"))))</f>
        <v>OK</v>
      </c>
    </row>
    <row r="69" customFormat="false" ht="36" hidden="false" customHeight="true" outlineLevel="0" collapsed="false">
      <c r="A69" s="4" t="s">
        <v>472</v>
      </c>
      <c r="B69" s="4" t="s">
        <v>397</v>
      </c>
      <c r="C69" s="4" t="s">
        <v>398</v>
      </c>
      <c r="D69" s="4" t="s">
        <v>399</v>
      </c>
      <c r="E69" s="4" t="s">
        <v>400</v>
      </c>
      <c r="F69" s="4" t="s">
        <v>401</v>
      </c>
      <c r="G69" s="4" t="s">
        <v>473</v>
      </c>
      <c r="H69" s="4" t="s">
        <v>409</v>
      </c>
      <c r="I69" s="4"/>
      <c r="J69" s="4" t="s">
        <v>467</v>
      </c>
      <c r="K69" s="4" t="s">
        <v>411</v>
      </c>
      <c r="L69" s="4" t="s">
        <v>403</v>
      </c>
      <c r="M69" s="4" t="s">
        <v>474</v>
      </c>
      <c r="N69" s="4" t="s">
        <v>70</v>
      </c>
      <c r="O69" s="12" t="s">
        <v>81</v>
      </c>
      <c r="P69" s="14"/>
      <c r="Q69" s="12" t="s">
        <v>73</v>
      </c>
      <c r="R69" s="12" t="s">
        <v>413</v>
      </c>
      <c r="S69" s="13" t="str">
        <f aca="false">IF(P69="","",IFERROR(VLOOKUP(P69,Components!$E$2:$H$83,3,FALSE()),"INVALID"))</f>
        <v/>
      </c>
      <c r="T69" s="13" t="str">
        <f aca="false">IF(P69="","",IFERROR(VLOOKUP(P69,Components!$E$2:$H$83,4,FALSE()),"INVALID"))</f>
        <v/>
      </c>
      <c r="U69" s="13" t="str">
        <f aca="false">IF(O69="","",IF(O69="ASSIGN_COMPONENT",IF(P69&lt;&gt;"","OK","CHECK: component required"),IF(O69="HOLD_UNRESOLVED",IF(P69="","OK","CHECK: clear component"),IF(O69="REGISTRY_ISSUE",IF(R69&lt;&gt;"","OK","CHECK: note required"),"CHECK"))))</f>
        <v>OK</v>
      </c>
    </row>
    <row r="70" customFormat="false" ht="36" hidden="false" customHeight="true" outlineLevel="0" collapsed="false">
      <c r="A70" s="4" t="s">
        <v>475</v>
      </c>
      <c r="B70" s="4" t="s">
        <v>397</v>
      </c>
      <c r="C70" s="4" t="s">
        <v>398</v>
      </c>
      <c r="D70" s="4" t="s">
        <v>399</v>
      </c>
      <c r="E70" s="4" t="s">
        <v>400</v>
      </c>
      <c r="F70" s="4" t="s">
        <v>401</v>
      </c>
      <c r="G70" s="4" t="s">
        <v>476</v>
      </c>
      <c r="H70" s="4" t="s">
        <v>409</v>
      </c>
      <c r="I70" s="4" t="s">
        <v>477</v>
      </c>
      <c r="J70" s="4" t="s">
        <v>467</v>
      </c>
      <c r="K70" s="4" t="s">
        <v>411</v>
      </c>
      <c r="L70" s="4" t="s">
        <v>403</v>
      </c>
      <c r="M70" s="4" t="s">
        <v>478</v>
      </c>
      <c r="N70" s="4" t="s">
        <v>70</v>
      </c>
      <c r="O70" s="12" t="s">
        <v>71</v>
      </c>
      <c r="P70" s="12" t="s">
        <v>479</v>
      </c>
      <c r="Q70" s="12" t="s">
        <v>73</v>
      </c>
      <c r="R70" s="12" t="s">
        <v>480</v>
      </c>
      <c r="S70" s="13" t="str">
        <f aca="false">IF(P70="","",IFERROR(VLOOKUP(P70,Components!$E$2:$H$83,3,FALSE()),"INVALID"))</f>
        <v>Jewish Antiquities</v>
      </c>
      <c r="T70" s="13" t="str">
        <f aca="false">IF(P70="","",IFERROR(VLOOKUP(P70,Components!$E$2:$H$83,4,FALSE()),"INVALID"))</f>
        <v>SUCCESSOR</v>
      </c>
      <c r="U70" s="13" t="str">
        <f aca="false">IF(O70="","",IF(O70="ASSIGN_COMPONENT",IF(P70&lt;&gt;"","OK","CHECK: component required"),IF(O70="HOLD_UNRESOLVED",IF(P70="","OK","CHECK: clear component"),IF(O70="REGISTRY_ISSUE",IF(R70&lt;&gt;"","OK","CHECK: note required"),"CHECK"))))</f>
        <v>OK</v>
      </c>
    </row>
    <row r="71" customFormat="false" ht="36" hidden="false" customHeight="true" outlineLevel="0" collapsed="false">
      <c r="A71" s="4" t="s">
        <v>481</v>
      </c>
      <c r="B71" s="4" t="s">
        <v>397</v>
      </c>
      <c r="C71" s="4" t="s">
        <v>398</v>
      </c>
      <c r="D71" s="4" t="s">
        <v>399</v>
      </c>
      <c r="E71" s="4" t="s">
        <v>400</v>
      </c>
      <c r="F71" s="4" t="s">
        <v>401</v>
      </c>
      <c r="G71" s="4" t="s">
        <v>482</v>
      </c>
      <c r="H71" s="4" t="s">
        <v>409</v>
      </c>
      <c r="I71" s="4"/>
      <c r="J71" s="4" t="s">
        <v>467</v>
      </c>
      <c r="K71" s="4" t="s">
        <v>411</v>
      </c>
      <c r="L71" s="4" t="s">
        <v>403</v>
      </c>
      <c r="M71" s="4" t="s">
        <v>483</v>
      </c>
      <c r="N71" s="4" t="s">
        <v>70</v>
      </c>
      <c r="O71" s="12" t="s">
        <v>81</v>
      </c>
      <c r="P71" s="14"/>
      <c r="Q71" s="12" t="s">
        <v>73</v>
      </c>
      <c r="R71" s="12" t="s">
        <v>413</v>
      </c>
      <c r="S71" s="13" t="str">
        <f aca="false">IF(P71="","",IFERROR(VLOOKUP(P71,Components!$E$2:$H$83,3,FALSE()),"INVALID"))</f>
        <v/>
      </c>
      <c r="T71" s="13" t="str">
        <f aca="false">IF(P71="","",IFERROR(VLOOKUP(P71,Components!$E$2:$H$83,4,FALSE()),"INVALID"))</f>
        <v/>
      </c>
      <c r="U71" s="13" t="str">
        <f aca="false">IF(O71="","",IF(O71="ASSIGN_COMPONENT",IF(P71&lt;&gt;"","OK","CHECK: component required"),IF(O71="HOLD_UNRESOLVED",IF(P71="","OK","CHECK: clear component"),IF(O71="REGISTRY_ISSUE",IF(R71&lt;&gt;"","OK","CHECK: note required"),"CHECK"))))</f>
        <v>OK</v>
      </c>
    </row>
    <row r="72" customFormat="false" ht="36" hidden="false" customHeight="true" outlineLevel="0" collapsed="false">
      <c r="A72" s="4" t="s">
        <v>484</v>
      </c>
      <c r="B72" s="4" t="s">
        <v>397</v>
      </c>
      <c r="C72" s="4" t="s">
        <v>398</v>
      </c>
      <c r="D72" s="4" t="s">
        <v>399</v>
      </c>
      <c r="E72" s="4" t="s">
        <v>400</v>
      </c>
      <c r="F72" s="4" t="s">
        <v>401</v>
      </c>
      <c r="G72" s="4" t="s">
        <v>485</v>
      </c>
      <c r="H72" s="4" t="s">
        <v>409</v>
      </c>
      <c r="I72" s="4"/>
      <c r="J72" s="4" t="s">
        <v>467</v>
      </c>
      <c r="K72" s="4" t="s">
        <v>411</v>
      </c>
      <c r="L72" s="4" t="s">
        <v>403</v>
      </c>
      <c r="M72" s="4" t="s">
        <v>486</v>
      </c>
      <c r="N72" s="4" t="s">
        <v>70</v>
      </c>
      <c r="O72" s="12" t="s">
        <v>81</v>
      </c>
      <c r="P72" s="14"/>
      <c r="Q72" s="12" t="s">
        <v>73</v>
      </c>
      <c r="R72" s="12" t="s">
        <v>413</v>
      </c>
      <c r="S72" s="13" t="str">
        <f aca="false">IF(P72="","",IFERROR(VLOOKUP(P72,Components!$E$2:$H$83,3,FALSE()),"INVALID"))</f>
        <v/>
      </c>
      <c r="T72" s="13" t="str">
        <f aca="false">IF(P72="","",IFERROR(VLOOKUP(P72,Components!$E$2:$H$83,4,FALSE()),"INVALID"))</f>
        <v/>
      </c>
      <c r="U72" s="13" t="str">
        <f aca="false">IF(O72="","",IF(O72="ASSIGN_COMPONENT",IF(P72&lt;&gt;"","OK","CHECK: component required"),IF(O72="HOLD_UNRESOLVED",IF(P72="","OK","CHECK: clear component"),IF(O72="REGISTRY_ISSUE",IF(R72&lt;&gt;"","OK","CHECK: note required"),"CHECK"))))</f>
        <v>OK</v>
      </c>
    </row>
    <row r="73" customFormat="false" ht="36" hidden="false" customHeight="true" outlineLevel="0" collapsed="false">
      <c r="A73" s="4" t="s">
        <v>487</v>
      </c>
      <c r="B73" s="4" t="s">
        <v>397</v>
      </c>
      <c r="C73" s="4" t="s">
        <v>398</v>
      </c>
      <c r="D73" s="4" t="s">
        <v>399</v>
      </c>
      <c r="E73" s="4" t="s">
        <v>400</v>
      </c>
      <c r="F73" s="4" t="s">
        <v>401</v>
      </c>
      <c r="G73" s="4" t="s">
        <v>488</v>
      </c>
      <c r="H73" s="4" t="s">
        <v>409</v>
      </c>
      <c r="I73" s="4"/>
      <c r="J73" s="4" t="s">
        <v>467</v>
      </c>
      <c r="K73" s="4" t="s">
        <v>411</v>
      </c>
      <c r="L73" s="4" t="s">
        <v>403</v>
      </c>
      <c r="M73" s="4" t="s">
        <v>489</v>
      </c>
      <c r="N73" s="4" t="s">
        <v>70</v>
      </c>
      <c r="O73" s="12" t="s">
        <v>81</v>
      </c>
      <c r="P73" s="14"/>
      <c r="Q73" s="12" t="s">
        <v>73</v>
      </c>
      <c r="R73" s="12" t="s">
        <v>413</v>
      </c>
      <c r="S73" s="13" t="str">
        <f aca="false">IF(P73="","",IFERROR(VLOOKUP(P73,Components!$E$2:$H$83,3,FALSE()),"INVALID"))</f>
        <v/>
      </c>
      <c r="T73" s="13" t="str">
        <f aca="false">IF(P73="","",IFERROR(VLOOKUP(P73,Components!$E$2:$H$83,4,FALSE()),"INVALID"))</f>
        <v/>
      </c>
      <c r="U73" s="13" t="str">
        <f aca="false">IF(O73="","",IF(O73="ASSIGN_COMPONENT",IF(P73&lt;&gt;"","OK","CHECK: component required"),IF(O73="HOLD_UNRESOLVED",IF(P73="","OK","CHECK: clear component"),IF(O73="REGISTRY_ISSUE",IF(R73&lt;&gt;"","OK","CHECK: note required"),"CHECK"))))</f>
        <v>OK</v>
      </c>
    </row>
    <row r="74" customFormat="false" ht="36" hidden="false" customHeight="true" outlineLevel="0" collapsed="false">
      <c r="A74" s="4" t="s">
        <v>490</v>
      </c>
      <c r="B74" s="4" t="s">
        <v>397</v>
      </c>
      <c r="C74" s="4" t="s">
        <v>398</v>
      </c>
      <c r="D74" s="4" t="s">
        <v>399</v>
      </c>
      <c r="E74" s="4" t="s">
        <v>400</v>
      </c>
      <c r="F74" s="4" t="s">
        <v>401</v>
      </c>
      <c r="G74" s="4" t="s">
        <v>491</v>
      </c>
      <c r="H74" s="4" t="s">
        <v>409</v>
      </c>
      <c r="I74" s="4" t="s">
        <v>492</v>
      </c>
      <c r="J74" s="4" t="s">
        <v>467</v>
      </c>
      <c r="K74" s="4" t="s">
        <v>411</v>
      </c>
      <c r="L74" s="4" t="s">
        <v>403</v>
      </c>
      <c r="M74" s="4" t="s">
        <v>493</v>
      </c>
      <c r="N74" s="4" t="s">
        <v>70</v>
      </c>
      <c r="O74" s="12" t="s">
        <v>71</v>
      </c>
      <c r="P74" s="12" t="s">
        <v>479</v>
      </c>
      <c r="Q74" s="12" t="s">
        <v>70</v>
      </c>
      <c r="R74" s="12" t="s">
        <v>494</v>
      </c>
      <c r="S74" s="13" t="str">
        <f aca="false">IF(P74="","",IFERROR(VLOOKUP(P74,Components!$E$2:$H$83,3,FALSE()),"INVALID"))</f>
        <v>Jewish Antiquities</v>
      </c>
      <c r="T74" s="13" t="str">
        <f aca="false">IF(P74="","",IFERROR(VLOOKUP(P74,Components!$E$2:$H$83,4,FALSE()),"INVALID"))</f>
        <v>SUCCESSOR</v>
      </c>
      <c r="U74" s="13" t="str">
        <f aca="false">IF(O74="","",IF(O74="ASSIGN_COMPONENT",IF(P74&lt;&gt;"","OK","CHECK: component required"),IF(O74="HOLD_UNRESOLVED",IF(P74="","OK","CHECK: clear component"),IF(O74="REGISTRY_ISSUE",IF(R74&lt;&gt;"","OK","CHECK: note required"),"CHECK"))))</f>
        <v>OK</v>
      </c>
    </row>
    <row r="75" customFormat="false" ht="36" hidden="false" customHeight="true" outlineLevel="0" collapsed="false">
      <c r="A75" s="4" t="s">
        <v>495</v>
      </c>
      <c r="B75" s="4" t="s">
        <v>397</v>
      </c>
      <c r="C75" s="4" t="s">
        <v>398</v>
      </c>
      <c r="D75" s="4" t="s">
        <v>399</v>
      </c>
      <c r="E75" s="4" t="s">
        <v>400</v>
      </c>
      <c r="F75" s="4" t="s">
        <v>401</v>
      </c>
      <c r="G75" s="4" t="s">
        <v>496</v>
      </c>
      <c r="H75" s="4" t="s">
        <v>399</v>
      </c>
      <c r="I75" s="4"/>
      <c r="J75" s="4" t="s">
        <v>497</v>
      </c>
      <c r="K75" s="4" t="s">
        <v>498</v>
      </c>
      <c r="L75" s="4" t="s">
        <v>499</v>
      </c>
      <c r="M75" s="4"/>
      <c r="N75" s="4" t="s">
        <v>70</v>
      </c>
      <c r="O75" s="12" t="s">
        <v>71</v>
      </c>
      <c r="P75" s="12" t="s">
        <v>500</v>
      </c>
      <c r="Q75" s="12" t="s">
        <v>73</v>
      </c>
      <c r="R75" s="12" t="s">
        <v>501</v>
      </c>
      <c r="S75" s="13" t="str">
        <f aca="false">IF(P75="","",IFERROR(VLOOKUP(P75,Components!$E$2:$H$83,3,FALSE()),"INVALID"))</f>
        <v>Modern selections / essential writings</v>
      </c>
      <c r="T75" s="13" t="str">
        <f aca="false">IF(P75="","",IFERROR(VLOOKUP(P75,Components!$E$2:$H$83,4,FALSE()),"INVALID"))</f>
        <v>SUCCESSOR</v>
      </c>
      <c r="U75" s="13" t="str">
        <f aca="false">IF(O75="","",IF(O75="ASSIGN_COMPONENT",IF(P75&lt;&gt;"","OK","CHECK: component required"),IF(O75="HOLD_UNRESOLVED",IF(P75="","OK","CHECK: clear component"),IF(O75="REGISTRY_ISSUE",IF(R75&lt;&gt;"","OK","CHECK: note required"),"CHECK"))))</f>
        <v>OK</v>
      </c>
    </row>
    <row r="76" customFormat="false" ht="36" hidden="false" customHeight="true" outlineLevel="0" collapsed="false">
      <c r="A76" s="4" t="s">
        <v>502</v>
      </c>
      <c r="B76" s="4" t="s">
        <v>503</v>
      </c>
      <c r="C76" s="4" t="s">
        <v>504</v>
      </c>
      <c r="D76" s="4" t="s">
        <v>505</v>
      </c>
      <c r="E76" s="4" t="s">
        <v>506</v>
      </c>
      <c r="F76" s="4" t="s">
        <v>507</v>
      </c>
      <c r="G76" s="4" t="s">
        <v>508</v>
      </c>
      <c r="H76" s="4" t="s">
        <v>505</v>
      </c>
      <c r="I76" s="4" t="s">
        <v>509</v>
      </c>
      <c r="J76" s="4" t="s">
        <v>510</v>
      </c>
      <c r="K76" s="4" t="s">
        <v>111</v>
      </c>
      <c r="L76" s="4" t="s">
        <v>511</v>
      </c>
      <c r="M76" s="4"/>
      <c r="N76" s="4" t="s">
        <v>73</v>
      </c>
      <c r="O76" s="12" t="s">
        <v>71</v>
      </c>
      <c r="P76" s="12" t="s">
        <v>512</v>
      </c>
      <c r="Q76" s="12" t="s">
        <v>70</v>
      </c>
      <c r="R76" s="12" t="s">
        <v>513</v>
      </c>
      <c r="S76" s="13" t="str">
        <f aca="false">IF(P76="","",IFERROR(VLOOKUP(P76,Components!$E$2:$H$83,3,FALSE()),"INVALID"))</f>
        <v>Prologues and epilogue</v>
      </c>
      <c r="T76" s="13" t="str">
        <f aca="false">IF(P76="","",IFERROR(VLOOKUP(P76,Components!$E$2:$H$83,4,FALSE()),"INVALID"))</f>
        <v>SUCCESSOR</v>
      </c>
      <c r="U76" s="13" t="str">
        <f aca="false">IF(O76="","",IF(O76="ASSIGN_COMPONENT",IF(P76&lt;&gt;"","OK","CHECK: component required"),IF(O76="HOLD_UNRESOLVED",IF(P76="","OK","CHECK: clear component"),IF(O76="REGISTRY_ISSUE",IF(R76&lt;&gt;"","OK","CHECK: note required"),"CHECK"))))</f>
        <v>OK</v>
      </c>
    </row>
    <row r="77" customFormat="false" ht="36" hidden="false" customHeight="true" outlineLevel="0" collapsed="false">
      <c r="A77" s="4" t="s">
        <v>514</v>
      </c>
      <c r="B77" s="4" t="s">
        <v>503</v>
      </c>
      <c r="C77" s="4" t="s">
        <v>504</v>
      </c>
      <c r="D77" s="4" t="s">
        <v>505</v>
      </c>
      <c r="E77" s="4" t="s">
        <v>506</v>
      </c>
      <c r="F77" s="4" t="s">
        <v>507</v>
      </c>
      <c r="G77" s="4" t="s">
        <v>515</v>
      </c>
      <c r="H77" s="4" t="s">
        <v>505</v>
      </c>
      <c r="I77" s="4" t="s">
        <v>516</v>
      </c>
      <c r="J77" s="4" t="s">
        <v>517</v>
      </c>
      <c r="K77" s="4" t="s">
        <v>518</v>
      </c>
      <c r="L77" s="4" t="s">
        <v>519</v>
      </c>
      <c r="M77" s="4"/>
      <c r="N77" s="4" t="s">
        <v>73</v>
      </c>
      <c r="O77" s="12" t="s">
        <v>71</v>
      </c>
      <c r="P77" s="12" t="s">
        <v>520</v>
      </c>
      <c r="Q77" s="12" t="s">
        <v>70</v>
      </c>
      <c r="R77" s="12" t="s">
        <v>521</v>
      </c>
      <c r="S77" s="13" t="str">
        <f aca="false">IF(P77="","",IFERROR(VLOOKUP(P77,Components!$E$2:$H$83,3,FALSE()),"INVALID"))</f>
        <v>Selected Works / selections from his works</v>
      </c>
      <c r="T77" s="13" t="str">
        <f aca="false">IF(P77="","",IFERROR(VLOOKUP(P77,Components!$E$2:$H$83,4,FALSE()),"INVALID"))</f>
        <v>SUCCESSOR</v>
      </c>
      <c r="U77" s="13" t="str">
        <f aca="false">IF(O77="","",IF(O77="ASSIGN_COMPONENT",IF(P77&lt;&gt;"","OK","CHECK: component required"),IF(O77="HOLD_UNRESOLVED",IF(P77="","OK","CHECK: clear component"),IF(O77="REGISTRY_ISSUE",IF(R77&lt;&gt;"","OK","CHECK: note required"),"CHECK"))))</f>
        <v>OK</v>
      </c>
    </row>
    <row r="78" customFormat="false" ht="36" hidden="false" customHeight="true" outlineLevel="0" collapsed="false">
      <c r="A78" s="4" t="s">
        <v>522</v>
      </c>
      <c r="B78" s="4" t="s">
        <v>503</v>
      </c>
      <c r="C78" s="4" t="s">
        <v>504</v>
      </c>
      <c r="D78" s="4" t="s">
        <v>505</v>
      </c>
      <c r="E78" s="4" t="s">
        <v>506</v>
      </c>
      <c r="F78" s="4" t="s">
        <v>507</v>
      </c>
      <c r="G78" s="4" t="s">
        <v>523</v>
      </c>
      <c r="H78" s="4" t="s">
        <v>505</v>
      </c>
      <c r="I78" s="4"/>
      <c r="J78" s="4" t="s">
        <v>524</v>
      </c>
      <c r="K78" s="4" t="s">
        <v>525</v>
      </c>
      <c r="L78" s="4" t="s">
        <v>511</v>
      </c>
      <c r="M78" s="4"/>
      <c r="N78" s="4" t="s">
        <v>73</v>
      </c>
      <c r="O78" s="12" t="s">
        <v>81</v>
      </c>
      <c r="P78" s="14"/>
      <c r="Q78" s="12" t="s">
        <v>73</v>
      </c>
      <c r="R78" s="12" t="s">
        <v>526</v>
      </c>
      <c r="S78" s="13" t="str">
        <f aca="false">IF(P78="","",IFERROR(VLOOKUP(P78,Components!$E$2:$H$83,3,FALSE()),"INVALID"))</f>
        <v/>
      </c>
      <c r="T78" s="13" t="str">
        <f aca="false">IF(P78="","",IFERROR(VLOOKUP(P78,Components!$E$2:$H$83,4,FALSE()),"INVALID"))</f>
        <v/>
      </c>
      <c r="U78" s="13" t="str">
        <f aca="false">IF(O78="","",IF(O78="ASSIGN_COMPONENT",IF(P78&lt;&gt;"","OK","CHECK: component required"),IF(O78="HOLD_UNRESOLVED",IF(P78="","OK","CHECK: clear component"),IF(O78="REGISTRY_ISSUE",IF(R78&lt;&gt;"","OK","CHECK: note required"),"CHECK"))))</f>
        <v>OK</v>
      </c>
    </row>
    <row r="79" customFormat="false" ht="36" hidden="false" customHeight="true" outlineLevel="0" collapsed="false">
      <c r="A79" s="4" t="s">
        <v>527</v>
      </c>
      <c r="B79" s="4" t="s">
        <v>528</v>
      </c>
      <c r="C79" s="4" t="s">
        <v>529</v>
      </c>
      <c r="D79" s="4" t="s">
        <v>530</v>
      </c>
      <c r="E79" s="4" t="s">
        <v>530</v>
      </c>
      <c r="F79" s="4" t="s">
        <v>531</v>
      </c>
      <c r="G79" s="4" t="s">
        <v>532</v>
      </c>
      <c r="H79" s="4" t="s">
        <v>533</v>
      </c>
      <c r="I79" s="4"/>
      <c r="J79" s="4" t="s">
        <v>534</v>
      </c>
      <c r="K79" s="4" t="s">
        <v>535</v>
      </c>
      <c r="L79" s="4" t="s">
        <v>536</v>
      </c>
      <c r="M79" s="4" t="s">
        <v>537</v>
      </c>
      <c r="N79" s="4" t="s">
        <v>70</v>
      </c>
      <c r="O79" s="12" t="s">
        <v>81</v>
      </c>
      <c r="P79" s="14"/>
      <c r="Q79" s="12" t="s">
        <v>73</v>
      </c>
      <c r="R79" s="12" t="s">
        <v>538</v>
      </c>
      <c r="S79" s="13" t="str">
        <f aca="false">IF(P79="","",IFERROR(VLOOKUP(P79,Components!$E$2:$H$83,3,FALSE()),"INVALID"))</f>
        <v/>
      </c>
      <c r="T79" s="13" t="str">
        <f aca="false">IF(P79="","",IFERROR(VLOOKUP(P79,Components!$E$2:$H$83,4,FALSE()),"INVALID"))</f>
        <v/>
      </c>
      <c r="U79" s="13" t="str">
        <f aca="false">IF(O79="","",IF(O79="ASSIGN_COMPONENT",IF(P79&lt;&gt;"","OK","CHECK: component required"),IF(O79="HOLD_UNRESOLVED",IF(P79="","OK","CHECK: clear component"),IF(O79="REGISTRY_ISSUE",IF(R79&lt;&gt;"","OK","CHECK: note required"),"CHECK"))))</f>
        <v>OK</v>
      </c>
    </row>
    <row r="80" customFormat="false" ht="36" hidden="false" customHeight="true" outlineLevel="0" collapsed="false">
      <c r="A80" s="4" t="s">
        <v>539</v>
      </c>
      <c r="B80" s="4" t="s">
        <v>528</v>
      </c>
      <c r="C80" s="4" t="s">
        <v>529</v>
      </c>
      <c r="D80" s="4" t="s">
        <v>530</v>
      </c>
      <c r="E80" s="4" t="s">
        <v>530</v>
      </c>
      <c r="F80" s="4" t="s">
        <v>531</v>
      </c>
      <c r="G80" s="4" t="s">
        <v>540</v>
      </c>
      <c r="H80" s="4" t="s">
        <v>530</v>
      </c>
      <c r="I80" s="4" t="s">
        <v>541</v>
      </c>
      <c r="J80" s="4" t="s">
        <v>542</v>
      </c>
      <c r="K80" s="4" t="s">
        <v>543</v>
      </c>
      <c r="L80" s="4" t="s">
        <v>536</v>
      </c>
      <c r="M80" s="4" t="s">
        <v>544</v>
      </c>
      <c r="N80" s="4" t="s">
        <v>70</v>
      </c>
      <c r="O80" s="12" t="s">
        <v>71</v>
      </c>
      <c r="P80" s="12" t="s">
        <v>545</v>
      </c>
      <c r="Q80" s="12" t="s">
        <v>70</v>
      </c>
      <c r="R80" s="12" t="s">
        <v>546</v>
      </c>
      <c r="S80" s="13" t="str">
        <f aca="false">IF(P80="","",IFERROR(VLOOKUP(P80,Components!$E$2:$H$83,3,FALSE()),"INVALID"))</f>
        <v>Five Complete Novels omnibus</v>
      </c>
      <c r="T80" s="13" t="str">
        <f aca="false">IF(P80="","",IFERROR(VLOOKUP(P80,Components!$E$2:$H$83,4,FALSE()),"INVALID"))</f>
        <v>PRIMARY_SUCCESSOR_HINT</v>
      </c>
      <c r="U80" s="13" t="str">
        <f aca="false">IF(O80="","",IF(O80="ASSIGN_COMPONENT",IF(P80&lt;&gt;"","OK","CHECK: component required"),IF(O80="HOLD_UNRESOLVED",IF(P80="","OK","CHECK: clear component"),IF(O80="REGISTRY_ISSUE",IF(R80&lt;&gt;"","OK","CHECK: note required"),"CHECK"))))</f>
        <v>OK</v>
      </c>
    </row>
    <row r="81" customFormat="false" ht="36" hidden="false" customHeight="true" outlineLevel="0" collapsed="false">
      <c r="A81" s="4" t="s">
        <v>547</v>
      </c>
      <c r="B81" s="4" t="s">
        <v>528</v>
      </c>
      <c r="C81" s="4" t="s">
        <v>529</v>
      </c>
      <c r="D81" s="4" t="s">
        <v>530</v>
      </c>
      <c r="E81" s="4" t="s">
        <v>530</v>
      </c>
      <c r="F81" s="4" t="s">
        <v>531</v>
      </c>
      <c r="G81" s="4" t="s">
        <v>548</v>
      </c>
      <c r="H81" s="4" t="s">
        <v>549</v>
      </c>
      <c r="I81" s="4" t="s">
        <v>550</v>
      </c>
      <c r="J81" s="4" t="s">
        <v>551</v>
      </c>
      <c r="K81" s="4" t="s">
        <v>552</v>
      </c>
      <c r="L81" s="4" t="s">
        <v>536</v>
      </c>
      <c r="M81" s="4" t="s">
        <v>553</v>
      </c>
      <c r="N81" s="4" t="s">
        <v>70</v>
      </c>
      <c r="O81" s="12" t="s">
        <v>71</v>
      </c>
      <c r="P81" s="12" t="s">
        <v>545</v>
      </c>
      <c r="Q81" s="12" t="s">
        <v>70</v>
      </c>
      <c r="R81" s="12" t="s">
        <v>546</v>
      </c>
      <c r="S81" s="13" t="str">
        <f aca="false">IF(P81="","",IFERROR(VLOOKUP(P81,Components!$E$2:$H$83,3,FALSE()),"INVALID"))</f>
        <v>Five Complete Novels omnibus</v>
      </c>
      <c r="T81" s="13" t="str">
        <f aca="false">IF(P81="","",IFERROR(VLOOKUP(P81,Components!$E$2:$H$83,4,FALSE()),"INVALID"))</f>
        <v>PRIMARY_SUCCESSOR_HINT</v>
      </c>
      <c r="U81" s="13" t="str">
        <f aca="false">IF(O81="","",IF(O81="ASSIGN_COMPONENT",IF(P81&lt;&gt;"","OK","CHECK: component required"),IF(O81="HOLD_UNRESOLVED",IF(P81="","OK","CHECK: clear component"),IF(O81="REGISTRY_ISSUE",IF(R81&lt;&gt;"","OK","CHECK: note required"),"CHECK"))))</f>
        <v>OK</v>
      </c>
    </row>
    <row r="82" customFormat="false" ht="36" hidden="false" customHeight="true" outlineLevel="0" collapsed="false">
      <c r="A82" s="4" t="s">
        <v>554</v>
      </c>
      <c r="B82" s="4" t="s">
        <v>404</v>
      </c>
      <c r="C82" s="4" t="s">
        <v>555</v>
      </c>
      <c r="D82" s="4" t="s">
        <v>556</v>
      </c>
      <c r="E82" s="4" t="s">
        <v>556</v>
      </c>
      <c r="F82" s="4" t="s">
        <v>557</v>
      </c>
      <c r="G82" s="4" t="s">
        <v>558</v>
      </c>
      <c r="H82" s="4" t="s">
        <v>556</v>
      </c>
      <c r="I82" s="4" t="s">
        <v>559</v>
      </c>
      <c r="J82" s="4" t="s">
        <v>560</v>
      </c>
      <c r="K82" s="4" t="s">
        <v>561</v>
      </c>
      <c r="L82" s="4" t="s">
        <v>562</v>
      </c>
      <c r="M82" s="4" t="s">
        <v>563</v>
      </c>
      <c r="N82" s="4" t="s">
        <v>73</v>
      </c>
      <c r="O82" s="12" t="s">
        <v>71</v>
      </c>
      <c r="P82" s="12" t="s">
        <v>564</v>
      </c>
      <c r="Q82" s="12" t="s">
        <v>70</v>
      </c>
      <c r="R82" s="12" t="s">
        <v>565</v>
      </c>
      <c r="S82" s="13" t="str">
        <f aca="false">IF(P82="","",IFERROR(VLOOKUP(P82,Components!$E$2:$H$83,3,FALSE()),"INVALID"))</f>
        <v>Twenty stories and seven poems</v>
      </c>
      <c r="T82" s="13" t="str">
        <f aca="false">IF(P82="","",IFERROR(VLOOKUP(P82,Components!$E$2:$H$83,4,FALSE()),"INVALID"))</f>
        <v>PRIMARY_SUCCESSOR_HINT</v>
      </c>
      <c r="U82" s="13" t="str">
        <f aca="false">IF(O82="","",IF(O82="ASSIGN_COMPONENT",IF(P82&lt;&gt;"","OK","CHECK: component required"),IF(O82="HOLD_UNRESOLVED",IF(P82="","OK","CHECK: clear component"),IF(O82="REGISTRY_ISSUE",IF(R82&lt;&gt;"","OK","CHECK: note required"),"CHECK"))))</f>
        <v>OK</v>
      </c>
    </row>
    <row r="83" customFormat="false" ht="36" hidden="false" customHeight="true" outlineLevel="0" collapsed="false">
      <c r="A83" s="4" t="s">
        <v>566</v>
      </c>
      <c r="B83" s="4" t="s">
        <v>404</v>
      </c>
      <c r="C83" s="4" t="s">
        <v>555</v>
      </c>
      <c r="D83" s="4" t="s">
        <v>556</v>
      </c>
      <c r="E83" s="4" t="s">
        <v>556</v>
      </c>
      <c r="F83" s="4" t="s">
        <v>557</v>
      </c>
      <c r="G83" s="4" t="s">
        <v>567</v>
      </c>
      <c r="H83" s="4" t="s">
        <v>556</v>
      </c>
      <c r="I83" s="4"/>
      <c r="J83" s="4" t="s">
        <v>568</v>
      </c>
      <c r="K83" s="4" t="s">
        <v>569</v>
      </c>
      <c r="L83" s="4" t="s">
        <v>562</v>
      </c>
      <c r="M83" s="4" t="s">
        <v>570</v>
      </c>
      <c r="N83" s="4" t="s">
        <v>73</v>
      </c>
      <c r="O83" s="12" t="s">
        <v>81</v>
      </c>
      <c r="P83" s="14"/>
      <c r="Q83" s="12" t="s">
        <v>73</v>
      </c>
      <c r="R83" s="12" t="s">
        <v>571</v>
      </c>
      <c r="S83" s="13" t="str">
        <f aca="false">IF(P83="","",IFERROR(VLOOKUP(P83,Components!$E$2:$H$83,3,FALSE()),"INVALID"))</f>
        <v/>
      </c>
      <c r="T83" s="13" t="str">
        <f aca="false">IF(P83="","",IFERROR(VLOOKUP(P83,Components!$E$2:$H$83,4,FALSE()),"INVALID"))</f>
        <v/>
      </c>
      <c r="U83" s="13" t="str">
        <f aca="false">IF(O83="","",IF(O83="ASSIGN_COMPONENT",IF(P83&lt;&gt;"","OK","CHECK: component required"),IF(O83="HOLD_UNRESOLVED",IF(P83="","OK","CHECK: clear component"),IF(O83="REGISTRY_ISSUE",IF(R83&lt;&gt;"","OK","CHECK: note required"),"CHECK"))))</f>
        <v>OK</v>
      </c>
    </row>
    <row r="84" customFormat="false" ht="36" hidden="false" customHeight="true" outlineLevel="0" collapsed="false">
      <c r="A84" s="4" t="s">
        <v>572</v>
      </c>
      <c r="B84" s="4" t="s">
        <v>404</v>
      </c>
      <c r="C84" s="4" t="s">
        <v>555</v>
      </c>
      <c r="D84" s="4" t="s">
        <v>556</v>
      </c>
      <c r="E84" s="4" t="s">
        <v>556</v>
      </c>
      <c r="F84" s="4" t="s">
        <v>557</v>
      </c>
      <c r="G84" s="4" t="s">
        <v>573</v>
      </c>
      <c r="H84" s="4" t="s">
        <v>556</v>
      </c>
      <c r="I84" s="4" t="s">
        <v>574</v>
      </c>
      <c r="J84" s="4" t="s">
        <v>575</v>
      </c>
      <c r="K84" s="4" t="s">
        <v>576</v>
      </c>
      <c r="L84" s="4" t="s">
        <v>562</v>
      </c>
      <c r="M84" s="4" t="s">
        <v>577</v>
      </c>
      <c r="N84" s="4" t="s">
        <v>73</v>
      </c>
      <c r="O84" s="12" t="s">
        <v>71</v>
      </c>
      <c r="P84" s="12" t="s">
        <v>578</v>
      </c>
      <c r="Q84" s="12" t="s">
        <v>70</v>
      </c>
      <c r="R84" s="12" t="s">
        <v>579</v>
      </c>
      <c r="S84" s="13" t="str">
        <f aca="false">IF(P84="","",IFERROR(VLOOKUP(P84,Components!$E$2:$H$83,3,FALSE()),"INVALID"))</f>
        <v>Master story-teller / literary heritage</v>
      </c>
      <c r="T84" s="13" t="str">
        <f aca="false">IF(P84="","",IFERROR(VLOOKUP(P84,Components!$E$2:$H$83,4,FALSE()),"INVALID"))</f>
        <v>SUCCESSOR</v>
      </c>
      <c r="U84" s="13" t="str">
        <f aca="false">IF(O84="","",IF(O84="ASSIGN_COMPONENT",IF(P84&lt;&gt;"","OK","CHECK: component required"),IF(O84="HOLD_UNRESOLVED",IF(P84="","OK","CHECK: clear component"),IF(O84="REGISTRY_ISSUE",IF(R84&lt;&gt;"","OK","CHECK: note required"),"CHECK"))))</f>
        <v>OK</v>
      </c>
    </row>
    <row r="85" customFormat="false" ht="36" hidden="false" customHeight="true" outlineLevel="0" collapsed="false">
      <c r="A85" s="4" t="s">
        <v>580</v>
      </c>
      <c r="B85" s="4" t="s">
        <v>581</v>
      </c>
      <c r="C85" s="4" t="s">
        <v>582</v>
      </c>
      <c r="D85" s="4" t="s">
        <v>583</v>
      </c>
      <c r="E85" s="4" t="s">
        <v>584</v>
      </c>
      <c r="F85" s="4" t="s">
        <v>585</v>
      </c>
      <c r="G85" s="4" t="s">
        <v>586</v>
      </c>
      <c r="H85" s="4" t="s">
        <v>587</v>
      </c>
      <c r="I85" s="4"/>
      <c r="J85" s="4" t="s">
        <v>588</v>
      </c>
      <c r="K85" s="4" t="s">
        <v>589</v>
      </c>
      <c r="L85" s="4" t="s">
        <v>590</v>
      </c>
      <c r="M85" s="4" t="s">
        <v>591</v>
      </c>
      <c r="N85" s="4" t="s">
        <v>70</v>
      </c>
      <c r="O85" s="12" t="s">
        <v>97</v>
      </c>
      <c r="P85" s="14"/>
      <c r="Q85" s="12" t="s">
        <v>73</v>
      </c>
      <c r="R85" s="12" t="s">
        <v>592</v>
      </c>
      <c r="S85" s="13" t="str">
        <f aca="false">IF(P85="","",IFERROR(VLOOKUP(P85,Components!$E$2:$H$83,3,FALSE()),"INVALID"))</f>
        <v/>
      </c>
      <c r="T85" s="13" t="str">
        <f aca="false">IF(P85="","",IFERROR(VLOOKUP(P85,Components!$E$2:$H$83,4,FALSE()),"INVALID"))</f>
        <v/>
      </c>
      <c r="U85" s="13" t="str">
        <f aca="false">IF(O85="","",IF(O85="ASSIGN_COMPONENT",IF(P85&lt;&gt;"","OK","CHECK: component required"),IF(O85="HOLD_UNRESOLVED",IF(P85="","OK","CHECK: clear component"),IF(O85="REGISTRY_ISSUE",IF(R85&lt;&gt;"","OK","CHECK: note required"),"CHECK"))))</f>
        <v>OK</v>
      </c>
    </row>
    <row r="86" customFormat="false" ht="36" hidden="false" customHeight="true" outlineLevel="0" collapsed="false">
      <c r="A86" s="4" t="s">
        <v>593</v>
      </c>
      <c r="B86" s="4" t="s">
        <v>581</v>
      </c>
      <c r="C86" s="4" t="s">
        <v>582</v>
      </c>
      <c r="D86" s="4" t="s">
        <v>583</v>
      </c>
      <c r="E86" s="4" t="s">
        <v>584</v>
      </c>
      <c r="F86" s="4" t="s">
        <v>585</v>
      </c>
      <c r="G86" s="4" t="s">
        <v>594</v>
      </c>
      <c r="H86" s="4" t="s">
        <v>595</v>
      </c>
      <c r="I86" s="4"/>
      <c r="J86" s="4" t="s">
        <v>452</v>
      </c>
      <c r="K86" s="4" t="s">
        <v>192</v>
      </c>
      <c r="L86" s="4" t="s">
        <v>590</v>
      </c>
      <c r="M86" s="4" t="s">
        <v>596</v>
      </c>
      <c r="N86" s="4" t="s">
        <v>70</v>
      </c>
      <c r="O86" s="12" t="s">
        <v>71</v>
      </c>
      <c r="P86" s="12" t="s">
        <v>597</v>
      </c>
      <c r="Q86" s="12" t="s">
        <v>73</v>
      </c>
      <c r="R86" s="12" t="s">
        <v>598</v>
      </c>
      <c r="S86" s="13" t="str">
        <f aca="false">IF(P86="","",IFERROR(VLOOKUP(P86,Components!$E$2:$H$83,3,FALSE()),"INVALID"))</f>
        <v>Later Collected / Complete Poems</v>
      </c>
      <c r="T86" s="13" t="str">
        <f aca="false">IF(P86="","",IFERROR(VLOOKUP(P86,Components!$E$2:$H$83,4,FALSE()),"INVALID"))</f>
        <v>SUCCESSOR</v>
      </c>
      <c r="U86" s="13" t="str">
        <f aca="false">IF(O86="","",IF(O86="ASSIGN_COMPONENT",IF(P86&lt;&gt;"","OK","CHECK: component required"),IF(O86="HOLD_UNRESOLVED",IF(P86="","OK","CHECK: clear component"),IF(O86="REGISTRY_ISSUE",IF(R86&lt;&gt;"","OK","CHECK: note required"),"CHECK"))))</f>
        <v>OK</v>
      </c>
    </row>
    <row r="87" customFormat="false" ht="36" hidden="false" customHeight="true" outlineLevel="0" collapsed="false">
      <c r="A87" s="4" t="s">
        <v>599</v>
      </c>
      <c r="B87" s="4" t="s">
        <v>581</v>
      </c>
      <c r="C87" s="4" t="s">
        <v>582</v>
      </c>
      <c r="D87" s="4" t="s">
        <v>583</v>
      </c>
      <c r="E87" s="4" t="s">
        <v>584</v>
      </c>
      <c r="F87" s="4" t="s">
        <v>585</v>
      </c>
      <c r="G87" s="4" t="s">
        <v>600</v>
      </c>
      <c r="H87" s="4" t="s">
        <v>595</v>
      </c>
      <c r="I87" s="4"/>
      <c r="J87" s="4" t="s">
        <v>452</v>
      </c>
      <c r="K87" s="4" t="s">
        <v>192</v>
      </c>
      <c r="L87" s="4" t="s">
        <v>590</v>
      </c>
      <c r="M87" s="4" t="s">
        <v>596</v>
      </c>
      <c r="N87" s="4" t="s">
        <v>70</v>
      </c>
      <c r="O87" s="12" t="s">
        <v>71</v>
      </c>
      <c r="P87" s="12" t="s">
        <v>597</v>
      </c>
      <c r="Q87" s="12" t="s">
        <v>73</v>
      </c>
      <c r="R87" s="12" t="s">
        <v>598</v>
      </c>
      <c r="S87" s="13" t="str">
        <f aca="false">IF(P87="","",IFERROR(VLOOKUP(P87,Components!$E$2:$H$83,3,FALSE()),"INVALID"))</f>
        <v>Later Collected / Complete Poems</v>
      </c>
      <c r="T87" s="13" t="str">
        <f aca="false">IF(P87="","",IFERROR(VLOOKUP(P87,Components!$E$2:$H$83,4,FALSE()),"INVALID"))</f>
        <v>SUCCESSOR</v>
      </c>
      <c r="U87" s="13" t="str">
        <f aca="false">IF(O87="","",IF(O87="ASSIGN_COMPONENT",IF(P87&lt;&gt;"","OK","CHECK: component required"),IF(O87="HOLD_UNRESOLVED",IF(P87="","OK","CHECK: clear component"),IF(O87="REGISTRY_ISSUE",IF(R87&lt;&gt;"","OK","CHECK: note required"),"CHECK"))))</f>
        <v>OK</v>
      </c>
    </row>
    <row r="88" customFormat="false" ht="36" hidden="false" customHeight="true" outlineLevel="0" collapsed="false">
      <c r="A88" s="4" t="s">
        <v>601</v>
      </c>
      <c r="B88" s="4" t="s">
        <v>581</v>
      </c>
      <c r="C88" s="4" t="s">
        <v>582</v>
      </c>
      <c r="D88" s="4" t="s">
        <v>583</v>
      </c>
      <c r="E88" s="4" t="s">
        <v>584</v>
      </c>
      <c r="F88" s="4" t="s">
        <v>585</v>
      </c>
      <c r="G88" s="4" t="s">
        <v>602</v>
      </c>
      <c r="H88" s="4" t="s">
        <v>595</v>
      </c>
      <c r="I88" s="4"/>
      <c r="J88" s="4" t="s">
        <v>452</v>
      </c>
      <c r="K88" s="4" t="s">
        <v>192</v>
      </c>
      <c r="L88" s="4" t="s">
        <v>590</v>
      </c>
      <c r="M88" s="4" t="s">
        <v>596</v>
      </c>
      <c r="N88" s="4" t="s">
        <v>70</v>
      </c>
      <c r="O88" s="12" t="s">
        <v>71</v>
      </c>
      <c r="P88" s="12" t="s">
        <v>597</v>
      </c>
      <c r="Q88" s="12" t="s">
        <v>73</v>
      </c>
      <c r="R88" s="12" t="s">
        <v>598</v>
      </c>
      <c r="S88" s="13" t="str">
        <f aca="false">IF(P88="","",IFERROR(VLOOKUP(P88,Components!$E$2:$H$83,3,FALSE()),"INVALID"))</f>
        <v>Later Collected / Complete Poems</v>
      </c>
      <c r="T88" s="13" t="str">
        <f aca="false">IF(P88="","",IFERROR(VLOOKUP(P88,Components!$E$2:$H$83,4,FALSE()),"INVALID"))</f>
        <v>SUCCESSOR</v>
      </c>
      <c r="U88" s="13" t="str">
        <f aca="false">IF(O88="","",IF(O88="ASSIGN_COMPONENT",IF(P88&lt;&gt;"","OK","CHECK: component required"),IF(O88="HOLD_UNRESOLVED",IF(P88="","OK","CHECK: clear component"),IF(O88="REGISTRY_ISSUE",IF(R88&lt;&gt;"","OK","CHECK: note required"),"CHECK"))))</f>
        <v>OK</v>
      </c>
    </row>
    <row r="89" customFormat="false" ht="36" hidden="false" customHeight="true" outlineLevel="0" collapsed="false">
      <c r="A89" s="4" t="s">
        <v>603</v>
      </c>
      <c r="B89" s="4" t="s">
        <v>581</v>
      </c>
      <c r="C89" s="4" t="s">
        <v>582</v>
      </c>
      <c r="D89" s="4" t="s">
        <v>583</v>
      </c>
      <c r="E89" s="4" t="s">
        <v>584</v>
      </c>
      <c r="F89" s="4" t="s">
        <v>585</v>
      </c>
      <c r="G89" s="4" t="s">
        <v>604</v>
      </c>
      <c r="H89" s="4" t="s">
        <v>605</v>
      </c>
      <c r="I89" s="4"/>
      <c r="J89" s="4" t="s">
        <v>606</v>
      </c>
      <c r="K89" s="4" t="s">
        <v>607</v>
      </c>
      <c r="L89" s="4" t="s">
        <v>590</v>
      </c>
      <c r="M89" s="4"/>
      <c r="N89" s="4" t="s">
        <v>70</v>
      </c>
      <c r="O89" s="12" t="s">
        <v>71</v>
      </c>
      <c r="P89" s="12" t="s">
        <v>597</v>
      </c>
      <c r="Q89" s="12" t="s">
        <v>70</v>
      </c>
      <c r="R89" s="12" t="s">
        <v>608</v>
      </c>
      <c r="S89" s="13" t="str">
        <f aca="false">IF(P89="","",IFERROR(VLOOKUP(P89,Components!$E$2:$H$83,3,FALSE()),"INVALID"))</f>
        <v>Later Collected / Complete Poems</v>
      </c>
      <c r="T89" s="13" t="str">
        <f aca="false">IF(P89="","",IFERROR(VLOOKUP(P89,Components!$E$2:$H$83,4,FALSE()),"INVALID"))</f>
        <v>SUCCESSOR</v>
      </c>
      <c r="U89" s="13" t="str">
        <f aca="false">IF(O89="","",IF(O89="ASSIGN_COMPONENT",IF(P89&lt;&gt;"","OK","CHECK: component required"),IF(O89="HOLD_UNRESOLVED",IF(P89="","OK","CHECK: clear component"),IF(O89="REGISTRY_ISSUE",IF(R89&lt;&gt;"","OK","CHECK: note required"),"CHECK"))))</f>
        <v>OK</v>
      </c>
    </row>
    <row r="90" customFormat="false" ht="36" hidden="false" customHeight="true" outlineLevel="0" collapsed="false">
      <c r="A90" s="4" t="s">
        <v>609</v>
      </c>
      <c r="B90" s="4" t="s">
        <v>581</v>
      </c>
      <c r="C90" s="4" t="s">
        <v>582</v>
      </c>
      <c r="D90" s="4" t="s">
        <v>583</v>
      </c>
      <c r="E90" s="4" t="s">
        <v>584</v>
      </c>
      <c r="F90" s="4" t="s">
        <v>585</v>
      </c>
      <c r="G90" s="4" t="s">
        <v>610</v>
      </c>
      <c r="H90" s="4" t="s">
        <v>611</v>
      </c>
      <c r="I90" s="4" t="s">
        <v>612</v>
      </c>
      <c r="J90" s="4" t="s">
        <v>110</v>
      </c>
      <c r="K90" s="4" t="s">
        <v>613</v>
      </c>
      <c r="L90" s="4"/>
      <c r="M90" s="4" t="s">
        <v>614</v>
      </c>
      <c r="N90" s="4" t="s">
        <v>70</v>
      </c>
      <c r="O90" s="12" t="s">
        <v>71</v>
      </c>
      <c r="P90" s="12" t="s">
        <v>615</v>
      </c>
      <c r="Q90" s="12" t="s">
        <v>70</v>
      </c>
      <c r="R90" s="12" t="s">
        <v>616</v>
      </c>
      <c r="S90" s="13" t="str">
        <f aca="false">IF(P90="","",IFERROR(VLOOKUP(P90,Components!$E$2:$H$83,3,FALSE()),"INVALID"))</f>
        <v>Marie Powell / Islands of Unwisdom fiction pairing</v>
      </c>
      <c r="T90" s="13" t="str">
        <f aca="false">IF(P90="","",IFERROR(VLOOKUP(P90,Components!$E$2:$H$83,4,FALSE()),"INVALID"))</f>
        <v>DETACH</v>
      </c>
      <c r="U90" s="13" t="str">
        <f aca="false">IF(O90="","",IF(O90="ASSIGN_COMPONENT",IF(P90&lt;&gt;"","OK","CHECK: component required"),IF(O90="HOLD_UNRESOLVED",IF(P90="","OK","CHECK: clear component"),IF(O90="REGISTRY_ISSUE",IF(R90&lt;&gt;"","OK","CHECK: note required"),"CHECK"))))</f>
        <v>OK</v>
      </c>
    </row>
    <row r="91" customFormat="false" ht="36" hidden="false" customHeight="true" outlineLevel="0" collapsed="false">
      <c r="A91" s="4" t="s">
        <v>617</v>
      </c>
      <c r="B91" s="4" t="s">
        <v>581</v>
      </c>
      <c r="C91" s="4" t="s">
        <v>582</v>
      </c>
      <c r="D91" s="4" t="s">
        <v>583</v>
      </c>
      <c r="E91" s="4" t="s">
        <v>584</v>
      </c>
      <c r="F91" s="4" t="s">
        <v>585</v>
      </c>
      <c r="G91" s="4" t="s">
        <v>618</v>
      </c>
      <c r="H91" s="4" t="s">
        <v>619</v>
      </c>
      <c r="I91" s="4" t="s">
        <v>620</v>
      </c>
      <c r="J91" s="4" t="s">
        <v>110</v>
      </c>
      <c r="K91" s="4" t="s">
        <v>613</v>
      </c>
      <c r="L91" s="4" t="s">
        <v>590</v>
      </c>
      <c r="M91" s="4" t="s">
        <v>614</v>
      </c>
      <c r="N91" s="4" t="s">
        <v>70</v>
      </c>
      <c r="O91" s="12" t="s">
        <v>71</v>
      </c>
      <c r="P91" s="12" t="s">
        <v>615</v>
      </c>
      <c r="Q91" s="12" t="s">
        <v>70</v>
      </c>
      <c r="R91" s="12" t="s">
        <v>616</v>
      </c>
      <c r="S91" s="13" t="str">
        <f aca="false">IF(P91="","",IFERROR(VLOOKUP(P91,Components!$E$2:$H$83,3,FALSE()),"INVALID"))</f>
        <v>Marie Powell / Islands of Unwisdom fiction pairing</v>
      </c>
      <c r="T91" s="13" t="str">
        <f aca="false">IF(P91="","",IFERROR(VLOOKUP(P91,Components!$E$2:$H$83,4,FALSE()),"INVALID"))</f>
        <v>DETACH</v>
      </c>
      <c r="U91" s="13" t="str">
        <f aca="false">IF(O91="","",IF(O91="ASSIGN_COMPONENT",IF(P91&lt;&gt;"","OK","CHECK: component required"),IF(O91="HOLD_UNRESOLVED",IF(P91="","OK","CHECK: clear component"),IF(O91="REGISTRY_ISSUE",IF(R91&lt;&gt;"","OK","CHECK: note required"),"CHECK"))))</f>
        <v>OK</v>
      </c>
    </row>
    <row r="92" customFormat="false" ht="36" hidden="false" customHeight="true" outlineLevel="0" collapsed="false">
      <c r="A92" s="4" t="s">
        <v>621</v>
      </c>
      <c r="B92" s="4" t="s">
        <v>581</v>
      </c>
      <c r="C92" s="4" t="s">
        <v>582</v>
      </c>
      <c r="D92" s="4" t="s">
        <v>583</v>
      </c>
      <c r="E92" s="4" t="s">
        <v>584</v>
      </c>
      <c r="F92" s="4" t="s">
        <v>585</v>
      </c>
      <c r="G92" s="4" t="s">
        <v>622</v>
      </c>
      <c r="H92" s="4" t="s">
        <v>623</v>
      </c>
      <c r="I92" s="4"/>
      <c r="J92" s="4" t="s">
        <v>624</v>
      </c>
      <c r="K92" s="4" t="s">
        <v>625</v>
      </c>
      <c r="L92" s="4"/>
      <c r="M92" s="4" t="s">
        <v>17</v>
      </c>
      <c r="N92" s="4" t="s">
        <v>70</v>
      </c>
      <c r="O92" s="12" t="s">
        <v>71</v>
      </c>
      <c r="P92" s="12" t="s">
        <v>597</v>
      </c>
      <c r="Q92" s="12" t="s">
        <v>73</v>
      </c>
      <c r="R92" s="12" t="s">
        <v>626</v>
      </c>
      <c r="S92" s="13" t="str">
        <f aca="false">IF(P92="","",IFERROR(VLOOKUP(P92,Components!$E$2:$H$83,3,FALSE()),"INVALID"))</f>
        <v>Later Collected / Complete Poems</v>
      </c>
      <c r="T92" s="13" t="str">
        <f aca="false">IF(P92="","",IFERROR(VLOOKUP(P92,Components!$E$2:$H$83,4,FALSE()),"INVALID"))</f>
        <v>SUCCESSOR</v>
      </c>
      <c r="U92" s="13" t="str">
        <f aca="false">IF(O92="","",IF(O92="ASSIGN_COMPONENT",IF(P92&lt;&gt;"","OK","CHECK: component required"),IF(O92="HOLD_UNRESOLVED",IF(P92="","OK","CHECK: clear component"),IF(O92="REGISTRY_ISSUE",IF(R92&lt;&gt;"","OK","CHECK: note required"),"CHECK"))))</f>
        <v>OK</v>
      </c>
    </row>
    <row r="93" customFormat="false" ht="36" hidden="false" customHeight="true" outlineLevel="0" collapsed="false">
      <c r="A93" s="4" t="s">
        <v>627</v>
      </c>
      <c r="B93" s="4" t="s">
        <v>581</v>
      </c>
      <c r="C93" s="4" t="s">
        <v>582</v>
      </c>
      <c r="D93" s="4" t="s">
        <v>583</v>
      </c>
      <c r="E93" s="4" t="s">
        <v>584</v>
      </c>
      <c r="F93" s="4" t="s">
        <v>585</v>
      </c>
      <c r="G93" s="4" t="s">
        <v>628</v>
      </c>
      <c r="H93" s="4" t="s">
        <v>629</v>
      </c>
      <c r="I93" s="4"/>
      <c r="J93" s="4" t="s">
        <v>630</v>
      </c>
      <c r="K93" s="4" t="s">
        <v>631</v>
      </c>
      <c r="L93" s="4"/>
      <c r="M93" s="4" t="s">
        <v>331</v>
      </c>
      <c r="N93" s="4" t="s">
        <v>70</v>
      </c>
      <c r="O93" s="12" t="s">
        <v>71</v>
      </c>
      <c r="P93" s="12" t="s">
        <v>597</v>
      </c>
      <c r="Q93" s="12" t="s">
        <v>70</v>
      </c>
      <c r="R93" s="12" t="s">
        <v>632</v>
      </c>
      <c r="S93" s="13" t="str">
        <f aca="false">IF(P93="","",IFERROR(VLOOKUP(P93,Components!$E$2:$H$83,3,FALSE()),"INVALID"))</f>
        <v>Later Collected / Complete Poems</v>
      </c>
      <c r="T93" s="13" t="str">
        <f aca="false">IF(P93="","",IFERROR(VLOOKUP(P93,Components!$E$2:$H$83,4,FALSE()),"INVALID"))</f>
        <v>SUCCESSOR</v>
      </c>
      <c r="U93" s="13" t="str">
        <f aca="false">IF(O93="","",IF(O93="ASSIGN_COMPONENT",IF(P93&lt;&gt;"","OK","CHECK: component required"),IF(O93="HOLD_UNRESOLVED",IF(P93="","OK","CHECK: clear component"),IF(O93="REGISTRY_ISSUE",IF(R93&lt;&gt;"","OK","CHECK: note required"),"CHECK"))))</f>
        <v>OK</v>
      </c>
    </row>
    <row r="94" customFormat="false" ht="36" hidden="false" customHeight="true" outlineLevel="0" collapsed="false">
      <c r="A94" s="4" t="s">
        <v>633</v>
      </c>
      <c r="B94" s="4" t="s">
        <v>634</v>
      </c>
      <c r="C94" s="4" t="s">
        <v>635</v>
      </c>
      <c r="D94" s="4" t="s">
        <v>583</v>
      </c>
      <c r="E94" s="4" t="s">
        <v>636</v>
      </c>
      <c r="F94" s="4" t="s">
        <v>637</v>
      </c>
      <c r="G94" s="4" t="s">
        <v>638</v>
      </c>
      <c r="H94" s="4" t="s">
        <v>639</v>
      </c>
      <c r="I94" s="4"/>
      <c r="J94" s="4" t="s">
        <v>452</v>
      </c>
      <c r="K94" s="4" t="s">
        <v>640</v>
      </c>
      <c r="L94" s="4" t="s">
        <v>641</v>
      </c>
      <c r="M94" s="4" t="s">
        <v>642</v>
      </c>
      <c r="N94" s="4" t="s">
        <v>70</v>
      </c>
      <c r="O94" s="12" t="s">
        <v>71</v>
      </c>
      <c r="P94" s="12" t="s">
        <v>643</v>
      </c>
      <c r="Q94" s="12" t="s">
        <v>70</v>
      </c>
      <c r="R94" s="12" t="s">
        <v>644</v>
      </c>
      <c r="S94" s="13" t="str">
        <f aca="false">IF(P94="","",IFERROR(VLOOKUP(P94,Components!$E$2:$H$83,3,FALSE()),"INVALID"))</f>
        <v>A Choice of Kipling's Verse</v>
      </c>
      <c r="T94" s="13" t="str">
        <f aca="false">IF(P94="","",IFERROR(VLOOKUP(P94,Components!$E$2:$H$83,4,FALSE()),"INVALID"))</f>
        <v>SUCCESSOR</v>
      </c>
      <c r="U94" s="13" t="str">
        <f aca="false">IF(O94="","",IF(O94="ASSIGN_COMPONENT",IF(P94&lt;&gt;"","OK","CHECK: component required"),IF(O94="HOLD_UNRESOLVED",IF(P94="","OK","CHECK: clear component"),IF(O94="REGISTRY_ISSUE",IF(R94&lt;&gt;"","OK","CHECK: note required"),"CHECK"))))</f>
        <v>OK</v>
      </c>
    </row>
    <row r="95" customFormat="false" ht="36" hidden="false" customHeight="true" outlineLevel="0" collapsed="false">
      <c r="A95" s="4" t="s">
        <v>645</v>
      </c>
      <c r="B95" s="4" t="s">
        <v>634</v>
      </c>
      <c r="C95" s="4" t="s">
        <v>635</v>
      </c>
      <c r="D95" s="4" t="s">
        <v>583</v>
      </c>
      <c r="E95" s="4" t="s">
        <v>636</v>
      </c>
      <c r="F95" s="4" t="s">
        <v>637</v>
      </c>
      <c r="G95" s="4" t="s">
        <v>646</v>
      </c>
      <c r="H95" s="4" t="s">
        <v>636</v>
      </c>
      <c r="I95" s="4" t="s">
        <v>647</v>
      </c>
      <c r="J95" s="4" t="s">
        <v>294</v>
      </c>
      <c r="K95" s="4" t="s">
        <v>648</v>
      </c>
      <c r="L95" s="4" t="s">
        <v>641</v>
      </c>
      <c r="M95" s="4" t="s">
        <v>649</v>
      </c>
      <c r="N95" s="4" t="s">
        <v>70</v>
      </c>
      <c r="O95" s="12" t="s">
        <v>71</v>
      </c>
      <c r="P95" s="12" t="s">
        <v>650</v>
      </c>
      <c r="Q95" s="12" t="s">
        <v>70</v>
      </c>
      <c r="R95" s="12" t="s">
        <v>651</v>
      </c>
      <c r="S95" s="13" t="str">
        <f aca="false">IF(P95="","",IFERROR(VLOOKUP(P95,Components!$E$2:$H$83,3,FALSE()),"INVALID"))</f>
        <v>Something of Myself / autobiographical writings</v>
      </c>
      <c r="T95" s="13" t="str">
        <f aca="false">IF(P95="","",IFERROR(VLOOKUP(P95,Components!$E$2:$H$83,4,FALSE()),"INVALID"))</f>
        <v>DETACH</v>
      </c>
      <c r="U95" s="13" t="str">
        <f aca="false">IF(O95="","",IF(O95="ASSIGN_COMPONENT",IF(P95&lt;&gt;"","OK","CHECK: component required"),IF(O95="HOLD_UNRESOLVED",IF(P95="","OK","CHECK: clear component"),IF(O95="REGISTRY_ISSUE",IF(R95&lt;&gt;"","OK","CHECK: note required"),"CHECK"))))</f>
        <v>OK</v>
      </c>
    </row>
    <row r="96" customFormat="false" ht="36" hidden="false" customHeight="true" outlineLevel="0" collapsed="false">
      <c r="A96" s="4" t="s">
        <v>652</v>
      </c>
      <c r="B96" s="4" t="s">
        <v>634</v>
      </c>
      <c r="C96" s="4" t="s">
        <v>635</v>
      </c>
      <c r="D96" s="4" t="s">
        <v>583</v>
      </c>
      <c r="E96" s="4" t="s">
        <v>636</v>
      </c>
      <c r="F96" s="4" t="s">
        <v>637</v>
      </c>
      <c r="G96" s="4" t="s">
        <v>653</v>
      </c>
      <c r="H96" s="4" t="s">
        <v>636</v>
      </c>
      <c r="I96" s="4" t="s">
        <v>647</v>
      </c>
      <c r="J96" s="4" t="s">
        <v>294</v>
      </c>
      <c r="K96" s="4" t="s">
        <v>648</v>
      </c>
      <c r="L96" s="4" t="s">
        <v>641</v>
      </c>
      <c r="M96" s="4" t="s">
        <v>649</v>
      </c>
      <c r="N96" s="4" t="s">
        <v>70</v>
      </c>
      <c r="O96" s="12" t="s">
        <v>71</v>
      </c>
      <c r="P96" s="12" t="s">
        <v>650</v>
      </c>
      <c r="Q96" s="12" t="s">
        <v>70</v>
      </c>
      <c r="R96" s="12" t="s">
        <v>651</v>
      </c>
      <c r="S96" s="13" t="str">
        <f aca="false">IF(P96="","",IFERROR(VLOOKUP(P96,Components!$E$2:$H$83,3,FALSE()),"INVALID"))</f>
        <v>Something of Myself / autobiographical writings</v>
      </c>
      <c r="T96" s="13" t="str">
        <f aca="false">IF(P96="","",IFERROR(VLOOKUP(P96,Components!$E$2:$H$83,4,FALSE()),"INVALID"))</f>
        <v>DETACH</v>
      </c>
      <c r="U96" s="13" t="str">
        <f aca="false">IF(O96="","",IF(O96="ASSIGN_COMPONENT",IF(P96&lt;&gt;"","OK","CHECK: component required"),IF(O96="HOLD_UNRESOLVED",IF(P96="","OK","CHECK: clear component"),IF(O96="REGISTRY_ISSUE",IF(R96&lt;&gt;"","OK","CHECK: note required"),"CHECK"))))</f>
        <v>OK</v>
      </c>
    </row>
    <row r="97" customFormat="false" ht="36" hidden="false" customHeight="true" outlineLevel="0" collapsed="false">
      <c r="A97" s="4" t="s">
        <v>654</v>
      </c>
      <c r="B97" s="4" t="s">
        <v>634</v>
      </c>
      <c r="C97" s="4" t="s">
        <v>635</v>
      </c>
      <c r="D97" s="4" t="s">
        <v>583</v>
      </c>
      <c r="E97" s="4" t="s">
        <v>636</v>
      </c>
      <c r="F97" s="4" t="s">
        <v>637</v>
      </c>
      <c r="G97" s="4" t="s">
        <v>655</v>
      </c>
      <c r="H97" s="4" t="s">
        <v>636</v>
      </c>
      <c r="I97" s="4" t="s">
        <v>656</v>
      </c>
      <c r="J97" s="4" t="s">
        <v>657</v>
      </c>
      <c r="K97" s="4" t="s">
        <v>658</v>
      </c>
      <c r="L97" s="4" t="s">
        <v>641</v>
      </c>
      <c r="M97" s="4" t="s">
        <v>659</v>
      </c>
      <c r="N97" s="4" t="s">
        <v>70</v>
      </c>
      <c r="O97" s="12" t="s">
        <v>81</v>
      </c>
      <c r="P97" s="14"/>
      <c r="Q97" s="12" t="s">
        <v>73</v>
      </c>
      <c r="R97" s="12" t="s">
        <v>660</v>
      </c>
      <c r="S97" s="13" t="str">
        <f aca="false">IF(P97="","",IFERROR(VLOOKUP(P97,Components!$E$2:$H$83,3,FALSE()),"INVALID"))</f>
        <v/>
      </c>
      <c r="T97" s="13" t="str">
        <f aca="false">IF(P97="","",IFERROR(VLOOKUP(P97,Components!$E$2:$H$83,4,FALSE()),"INVALID"))</f>
        <v/>
      </c>
      <c r="U97" s="13" t="str">
        <f aca="false">IF(O97="","",IF(O97="ASSIGN_COMPONENT",IF(P97&lt;&gt;"","OK","CHECK: component required"),IF(O97="HOLD_UNRESOLVED",IF(P97="","OK","CHECK: clear component"),IF(O97="REGISTRY_ISSUE",IF(R97&lt;&gt;"","OK","CHECK: note required"),"CHECK"))))</f>
        <v>OK</v>
      </c>
    </row>
    <row r="98" customFormat="false" ht="36" hidden="false" customHeight="true" outlineLevel="0" collapsed="false">
      <c r="A98" s="4" t="s">
        <v>661</v>
      </c>
      <c r="B98" s="4" t="s">
        <v>634</v>
      </c>
      <c r="C98" s="4" t="s">
        <v>635</v>
      </c>
      <c r="D98" s="4" t="s">
        <v>583</v>
      </c>
      <c r="E98" s="4" t="s">
        <v>636</v>
      </c>
      <c r="F98" s="4" t="s">
        <v>637</v>
      </c>
      <c r="G98" s="4" t="s">
        <v>662</v>
      </c>
      <c r="H98" s="4" t="s">
        <v>636</v>
      </c>
      <c r="I98" s="4" t="s">
        <v>663</v>
      </c>
      <c r="J98" s="4" t="s">
        <v>78</v>
      </c>
      <c r="K98" s="4" t="s">
        <v>664</v>
      </c>
      <c r="L98" s="4" t="s">
        <v>641</v>
      </c>
      <c r="M98" s="4"/>
      <c r="N98" s="4" t="s">
        <v>70</v>
      </c>
      <c r="O98" s="12" t="s">
        <v>71</v>
      </c>
      <c r="P98" s="12" t="s">
        <v>665</v>
      </c>
      <c r="Q98" s="12" t="s">
        <v>70</v>
      </c>
      <c r="R98" s="12" t="s">
        <v>666</v>
      </c>
      <c r="S98" s="13" t="str">
        <f aca="false">IF(P98="","",IFERROR(VLOOKUP(P98,Components!$E$2:$H$83,3,FALSE()),"INVALID"))</f>
        <v>Stories from India / broad selected works</v>
      </c>
      <c r="T98" s="13" t="str">
        <f aca="false">IF(P98="","",IFERROR(VLOOKUP(P98,Components!$E$2:$H$83,4,FALSE()),"INVALID"))</f>
        <v>DETACH</v>
      </c>
      <c r="U98" s="13" t="str">
        <f aca="false">IF(O98="","",IF(O98="ASSIGN_COMPONENT",IF(P98&lt;&gt;"","OK","CHECK: component required"),IF(O98="HOLD_UNRESOLVED",IF(P98="","OK","CHECK: clear component"),IF(O98="REGISTRY_ISSUE",IF(R98&lt;&gt;"","OK","CHECK: note required"),"CHECK"))))</f>
        <v>OK</v>
      </c>
    </row>
    <row r="99" customFormat="false" ht="36" hidden="false" customHeight="true" outlineLevel="0" collapsed="false">
      <c r="A99" s="4" t="s">
        <v>667</v>
      </c>
      <c r="B99" s="4" t="s">
        <v>634</v>
      </c>
      <c r="C99" s="4" t="s">
        <v>635</v>
      </c>
      <c r="D99" s="4" t="s">
        <v>583</v>
      </c>
      <c r="E99" s="4" t="s">
        <v>636</v>
      </c>
      <c r="F99" s="4" t="s">
        <v>637</v>
      </c>
      <c r="G99" s="4" t="s">
        <v>668</v>
      </c>
      <c r="H99" s="4" t="s">
        <v>636</v>
      </c>
      <c r="I99" s="4"/>
      <c r="J99" s="4" t="s">
        <v>669</v>
      </c>
      <c r="K99" s="4" t="s">
        <v>670</v>
      </c>
      <c r="L99" s="4" t="s">
        <v>641</v>
      </c>
      <c r="M99" s="4" t="s">
        <v>671</v>
      </c>
      <c r="N99" s="4" t="s">
        <v>70</v>
      </c>
      <c r="O99" s="12" t="s">
        <v>71</v>
      </c>
      <c r="P99" s="12" t="s">
        <v>672</v>
      </c>
      <c r="Q99" s="12" t="s">
        <v>73</v>
      </c>
      <c r="R99" s="12" t="s">
        <v>673</v>
      </c>
      <c r="S99" s="13" t="str">
        <f aca="false">IF(P99="","",IFERROR(VLOOKUP(P99,Components!$E$2:$H$83,3,FALSE()),"INVALID"))</f>
        <v>Selected Poems / Poetry for Young People</v>
      </c>
      <c r="T99" s="13" t="str">
        <f aca="false">IF(P99="","",IFERROR(VLOOKUP(P99,Components!$E$2:$H$83,4,FALSE()),"INVALID"))</f>
        <v>SUCCESSOR</v>
      </c>
      <c r="U99" s="13" t="str">
        <f aca="false">IF(O99="","",IF(O99="ASSIGN_COMPONENT",IF(P99&lt;&gt;"","OK","CHECK: component required"),IF(O99="HOLD_UNRESOLVED",IF(P99="","OK","CHECK: clear component"),IF(O99="REGISTRY_ISSUE",IF(R99&lt;&gt;"","OK","CHECK: note required"),"CHECK"))))</f>
        <v>OK</v>
      </c>
    </row>
    <row r="100" customFormat="false" ht="36" hidden="false" customHeight="true" outlineLevel="0" collapsed="false">
      <c r="A100" s="4" t="s">
        <v>674</v>
      </c>
      <c r="B100" s="4" t="s">
        <v>634</v>
      </c>
      <c r="C100" s="4" t="s">
        <v>635</v>
      </c>
      <c r="D100" s="4" t="s">
        <v>583</v>
      </c>
      <c r="E100" s="4" t="s">
        <v>636</v>
      </c>
      <c r="F100" s="4" t="s">
        <v>637</v>
      </c>
      <c r="G100" s="4" t="s">
        <v>675</v>
      </c>
      <c r="H100" s="4" t="s">
        <v>636</v>
      </c>
      <c r="I100" s="4"/>
      <c r="J100" s="4" t="s">
        <v>676</v>
      </c>
      <c r="K100" s="4" t="s">
        <v>677</v>
      </c>
      <c r="L100" s="4" t="s">
        <v>641</v>
      </c>
      <c r="M100" s="4" t="s">
        <v>678</v>
      </c>
      <c r="N100" s="4" t="s">
        <v>70</v>
      </c>
      <c r="O100" s="12" t="s">
        <v>81</v>
      </c>
      <c r="P100" s="14"/>
      <c r="Q100" s="12" t="s">
        <v>73</v>
      </c>
      <c r="R100" s="12" t="s">
        <v>679</v>
      </c>
      <c r="S100" s="13" t="str">
        <f aca="false">IF(P100="","",IFERROR(VLOOKUP(P100,Components!$E$2:$H$83,3,FALSE()),"INVALID"))</f>
        <v/>
      </c>
      <c r="T100" s="13" t="str">
        <f aca="false">IF(P100="","",IFERROR(VLOOKUP(P100,Components!$E$2:$H$83,4,FALSE()),"INVALID"))</f>
        <v/>
      </c>
      <c r="U100" s="13" t="str">
        <f aca="false">IF(O100="","",IF(O100="ASSIGN_COMPONENT",IF(P100&lt;&gt;"","OK","CHECK: component required"),IF(O100="HOLD_UNRESOLVED",IF(P100="","OK","CHECK: clear component"),IF(O100="REGISTRY_ISSUE",IF(R100&lt;&gt;"","OK","CHECK: note required"),"CHECK"))))</f>
        <v>OK</v>
      </c>
    </row>
    <row r="101" customFormat="false" ht="36" hidden="false" customHeight="true" outlineLevel="0" collapsed="false">
      <c r="A101" s="4" t="s">
        <v>680</v>
      </c>
      <c r="B101" s="4" t="s">
        <v>634</v>
      </c>
      <c r="C101" s="4" t="s">
        <v>635</v>
      </c>
      <c r="D101" s="4" t="s">
        <v>583</v>
      </c>
      <c r="E101" s="4" t="s">
        <v>636</v>
      </c>
      <c r="F101" s="4" t="s">
        <v>637</v>
      </c>
      <c r="G101" s="4" t="s">
        <v>681</v>
      </c>
      <c r="H101" s="4" t="s">
        <v>636</v>
      </c>
      <c r="I101" s="4" t="s">
        <v>682</v>
      </c>
      <c r="J101" s="4" t="s">
        <v>683</v>
      </c>
      <c r="K101" s="4" t="s">
        <v>102</v>
      </c>
      <c r="L101" s="4" t="s">
        <v>641</v>
      </c>
      <c r="M101" s="4" t="s">
        <v>684</v>
      </c>
      <c r="N101" s="4" t="s">
        <v>70</v>
      </c>
      <c r="O101" s="12" t="s">
        <v>71</v>
      </c>
      <c r="P101" s="12" t="s">
        <v>665</v>
      </c>
      <c r="Q101" s="12" t="s">
        <v>70</v>
      </c>
      <c r="R101" s="12" t="s">
        <v>685</v>
      </c>
      <c r="S101" s="13" t="str">
        <f aca="false">IF(P101="","",IFERROR(VLOOKUP(P101,Components!$E$2:$H$83,3,FALSE()),"INVALID"))</f>
        <v>Stories from India / broad selected works</v>
      </c>
      <c r="T101" s="13" t="str">
        <f aca="false">IF(P101="","",IFERROR(VLOOKUP(P101,Components!$E$2:$H$83,4,FALSE()),"INVALID"))</f>
        <v>DETACH</v>
      </c>
      <c r="U101" s="13" t="str">
        <f aca="false">IF(O101="","",IF(O101="ASSIGN_COMPONENT",IF(P101&lt;&gt;"","OK","CHECK: component required"),IF(O101="HOLD_UNRESOLVED",IF(P101="","OK","CHECK: clear component"),IF(O101="REGISTRY_ISSUE",IF(R101&lt;&gt;"","OK","CHECK: note required"),"CHECK"))))</f>
        <v>OK</v>
      </c>
    </row>
    <row r="102" customFormat="false" ht="36" hidden="false" customHeight="true" outlineLevel="0" collapsed="false">
      <c r="A102" s="4" t="s">
        <v>686</v>
      </c>
      <c r="B102" s="4" t="s">
        <v>634</v>
      </c>
      <c r="C102" s="4" t="s">
        <v>635</v>
      </c>
      <c r="D102" s="4" t="s">
        <v>583</v>
      </c>
      <c r="E102" s="4" t="s">
        <v>636</v>
      </c>
      <c r="F102" s="4" t="s">
        <v>637</v>
      </c>
      <c r="G102" s="4" t="s">
        <v>687</v>
      </c>
      <c r="H102" s="4" t="s">
        <v>688</v>
      </c>
      <c r="I102" s="4"/>
      <c r="J102" s="4" t="s">
        <v>689</v>
      </c>
      <c r="K102" s="4" t="s">
        <v>640</v>
      </c>
      <c r="L102" s="4" t="s">
        <v>690</v>
      </c>
      <c r="M102" s="4" t="s">
        <v>642</v>
      </c>
      <c r="N102" s="4" t="s">
        <v>70</v>
      </c>
      <c r="O102" s="12" t="s">
        <v>71</v>
      </c>
      <c r="P102" s="12" t="s">
        <v>643</v>
      </c>
      <c r="Q102" s="12" t="s">
        <v>70</v>
      </c>
      <c r="R102" s="12" t="s">
        <v>644</v>
      </c>
      <c r="S102" s="13" t="str">
        <f aca="false">IF(P102="","",IFERROR(VLOOKUP(P102,Components!$E$2:$H$83,3,FALSE()),"INVALID"))</f>
        <v>A Choice of Kipling's Verse</v>
      </c>
      <c r="T102" s="13" t="str">
        <f aca="false">IF(P102="","",IFERROR(VLOOKUP(P102,Components!$E$2:$H$83,4,FALSE()),"INVALID"))</f>
        <v>SUCCESSOR</v>
      </c>
      <c r="U102" s="13" t="str">
        <f aca="false">IF(O102="","",IF(O102="ASSIGN_COMPONENT",IF(P102&lt;&gt;"","OK","CHECK: component required"),IF(O102="HOLD_UNRESOLVED",IF(P102="","OK","CHECK: clear component"),IF(O102="REGISTRY_ISSUE",IF(R102&lt;&gt;"","OK","CHECK: note required"),"CHECK"))))</f>
        <v>OK</v>
      </c>
    </row>
    <row r="103" customFormat="false" ht="36" hidden="false" customHeight="true" outlineLevel="0" collapsed="false">
      <c r="A103" s="4" t="s">
        <v>691</v>
      </c>
      <c r="B103" s="4" t="s">
        <v>634</v>
      </c>
      <c r="C103" s="4" t="s">
        <v>635</v>
      </c>
      <c r="D103" s="4" t="s">
        <v>583</v>
      </c>
      <c r="E103" s="4" t="s">
        <v>636</v>
      </c>
      <c r="F103" s="4" t="s">
        <v>637</v>
      </c>
      <c r="G103" s="4" t="s">
        <v>692</v>
      </c>
      <c r="H103" s="4" t="s">
        <v>636</v>
      </c>
      <c r="I103" s="4" t="s">
        <v>693</v>
      </c>
      <c r="J103" s="4" t="s">
        <v>694</v>
      </c>
      <c r="K103" s="4" t="s">
        <v>111</v>
      </c>
      <c r="L103" s="4" t="s">
        <v>641</v>
      </c>
      <c r="M103" s="4" t="s">
        <v>695</v>
      </c>
      <c r="N103" s="4" t="s">
        <v>70</v>
      </c>
      <c r="O103" s="12" t="s">
        <v>71</v>
      </c>
      <c r="P103" s="12" t="s">
        <v>650</v>
      </c>
      <c r="Q103" s="12" t="s">
        <v>70</v>
      </c>
      <c r="R103" s="12" t="s">
        <v>651</v>
      </c>
      <c r="S103" s="13" t="str">
        <f aca="false">IF(P103="","",IFERROR(VLOOKUP(P103,Components!$E$2:$H$83,3,FALSE()),"INVALID"))</f>
        <v>Something of Myself / autobiographical writings</v>
      </c>
      <c r="T103" s="13" t="str">
        <f aca="false">IF(P103="","",IFERROR(VLOOKUP(P103,Components!$E$2:$H$83,4,FALSE()),"INVALID"))</f>
        <v>DETACH</v>
      </c>
      <c r="U103" s="13" t="str">
        <f aca="false">IF(O103="","",IF(O103="ASSIGN_COMPONENT",IF(P103&lt;&gt;"","OK","CHECK: component required"),IF(O103="HOLD_UNRESOLVED",IF(P103="","OK","CHECK: clear component"),IF(O103="REGISTRY_ISSUE",IF(R103&lt;&gt;"","OK","CHECK: note required"),"CHECK"))))</f>
        <v>OK</v>
      </c>
    </row>
    <row r="104" customFormat="false" ht="36" hidden="false" customHeight="true" outlineLevel="0" collapsed="false">
      <c r="A104" s="4" t="s">
        <v>696</v>
      </c>
      <c r="B104" s="4" t="s">
        <v>634</v>
      </c>
      <c r="C104" s="4" t="s">
        <v>635</v>
      </c>
      <c r="D104" s="4" t="s">
        <v>583</v>
      </c>
      <c r="E104" s="4" t="s">
        <v>636</v>
      </c>
      <c r="F104" s="4" t="s">
        <v>637</v>
      </c>
      <c r="G104" s="4" t="s">
        <v>697</v>
      </c>
      <c r="H104" s="4" t="s">
        <v>636</v>
      </c>
      <c r="I104" s="4" t="s">
        <v>698</v>
      </c>
      <c r="J104" s="4" t="s">
        <v>699</v>
      </c>
      <c r="K104" s="4" t="s">
        <v>700</v>
      </c>
      <c r="L104" s="4" t="s">
        <v>641</v>
      </c>
      <c r="M104" s="4" t="s">
        <v>701</v>
      </c>
      <c r="N104" s="4" t="s">
        <v>70</v>
      </c>
      <c r="O104" s="12" t="s">
        <v>71</v>
      </c>
      <c r="P104" s="12" t="s">
        <v>665</v>
      </c>
      <c r="Q104" s="12" t="s">
        <v>70</v>
      </c>
      <c r="R104" s="12" t="s">
        <v>666</v>
      </c>
      <c r="S104" s="13" t="str">
        <f aca="false">IF(P104="","",IFERROR(VLOOKUP(P104,Components!$E$2:$H$83,3,FALSE()),"INVALID"))</f>
        <v>Stories from India / broad selected works</v>
      </c>
      <c r="T104" s="13" t="str">
        <f aca="false">IF(P104="","",IFERROR(VLOOKUP(P104,Components!$E$2:$H$83,4,FALSE()),"INVALID"))</f>
        <v>DETACH</v>
      </c>
      <c r="U104" s="13" t="str">
        <f aca="false">IF(O104="","",IF(O104="ASSIGN_COMPONENT",IF(P104&lt;&gt;"","OK","CHECK: component required"),IF(O104="HOLD_UNRESOLVED",IF(P104="","OK","CHECK: clear component"),IF(O104="REGISTRY_ISSUE",IF(R104&lt;&gt;"","OK","CHECK: note required"),"CHECK"))))</f>
        <v>OK</v>
      </c>
    </row>
    <row r="105" customFormat="false" ht="36" hidden="false" customHeight="true" outlineLevel="0" collapsed="false">
      <c r="A105" s="4" t="s">
        <v>702</v>
      </c>
      <c r="B105" s="4" t="s">
        <v>703</v>
      </c>
      <c r="C105" s="4" t="s">
        <v>704</v>
      </c>
      <c r="D105" s="4" t="s">
        <v>583</v>
      </c>
      <c r="E105" s="4" t="s">
        <v>705</v>
      </c>
      <c r="F105" s="4" t="s">
        <v>706</v>
      </c>
      <c r="G105" s="4" t="s">
        <v>707</v>
      </c>
      <c r="H105" s="4" t="s">
        <v>708</v>
      </c>
      <c r="I105" s="4"/>
      <c r="J105" s="4" t="s">
        <v>709</v>
      </c>
      <c r="K105" s="4" t="s">
        <v>710</v>
      </c>
      <c r="L105" s="4" t="s">
        <v>711</v>
      </c>
      <c r="M105" s="4" t="s">
        <v>712</v>
      </c>
      <c r="N105" s="4" t="s">
        <v>70</v>
      </c>
      <c r="O105" s="12" t="s">
        <v>71</v>
      </c>
      <c r="P105" s="12" t="s">
        <v>713</v>
      </c>
      <c r="Q105" s="12" t="s">
        <v>70</v>
      </c>
      <c r="R105" s="12" t="s">
        <v>714</v>
      </c>
      <c r="S105" s="13" t="str">
        <f aca="false">IF(P105="","",IFERROR(VLOOKUP(P105,Components!$E$2:$H$83,3,FALSE()),"INVALID"))</f>
        <v>Poems and ballads</v>
      </c>
      <c r="T105" s="13" t="str">
        <f aca="false">IF(P105="","",IFERROR(VLOOKUP(P105,Components!$E$2:$H$83,4,FALSE()),"INVALID"))</f>
        <v>SUCCESSOR</v>
      </c>
      <c r="U105" s="13" t="str">
        <f aca="false">IF(O105="","",IF(O105="ASSIGN_COMPONENT",IF(P105&lt;&gt;"","OK","CHECK: component required"),IF(O105="HOLD_UNRESOLVED",IF(P105="","OK","CHECK: clear component"),IF(O105="REGISTRY_ISSUE",IF(R105&lt;&gt;"","OK","CHECK: note required"),"CHECK"))))</f>
        <v>OK</v>
      </c>
    </row>
    <row r="106" customFormat="false" ht="36" hidden="false" customHeight="true" outlineLevel="0" collapsed="false">
      <c r="A106" s="4" t="s">
        <v>715</v>
      </c>
      <c r="B106" s="4" t="s">
        <v>703</v>
      </c>
      <c r="C106" s="4" t="s">
        <v>704</v>
      </c>
      <c r="D106" s="4" t="s">
        <v>583</v>
      </c>
      <c r="E106" s="4" t="s">
        <v>705</v>
      </c>
      <c r="F106" s="4" t="s">
        <v>706</v>
      </c>
      <c r="G106" s="4" t="s">
        <v>716</v>
      </c>
      <c r="H106" s="4" t="s">
        <v>705</v>
      </c>
      <c r="I106" s="4" t="s">
        <v>717</v>
      </c>
      <c r="J106" s="4" t="s">
        <v>186</v>
      </c>
      <c r="K106" s="4" t="s">
        <v>718</v>
      </c>
      <c r="L106" s="4" t="s">
        <v>711</v>
      </c>
      <c r="M106" s="4" t="s">
        <v>719</v>
      </c>
      <c r="N106" s="4" t="s">
        <v>70</v>
      </c>
      <c r="O106" s="12" t="s">
        <v>71</v>
      </c>
      <c r="P106" s="12" t="s">
        <v>720</v>
      </c>
      <c r="Q106" s="12" t="s">
        <v>70</v>
      </c>
      <c r="R106" s="12" t="s">
        <v>721</v>
      </c>
      <c r="S106" s="13" t="str">
        <f aca="false">IF(P106="","",IFERROR(VLOOKUP(P106,Components!$E$2:$H$83,3,FALSE()),"INVALID"))</f>
        <v>Hitherto unpublished prose writings</v>
      </c>
      <c r="T106" s="13" t="str">
        <f aca="false">IF(P106="","",IFERROR(VLOOKUP(P106,Components!$E$2:$H$83,4,FALSE()),"INVALID"))</f>
        <v>DETACH</v>
      </c>
      <c r="U106" s="13" t="str">
        <f aca="false">IF(O106="","",IF(O106="ASSIGN_COMPONENT",IF(P106&lt;&gt;"","OK","CHECK: component required"),IF(O106="HOLD_UNRESOLVED",IF(P106="","OK","CHECK: clear component"),IF(O106="REGISTRY_ISSUE",IF(R106&lt;&gt;"","OK","CHECK: note required"),"CHECK"))))</f>
        <v>OK</v>
      </c>
    </row>
    <row r="107" customFormat="false" ht="36" hidden="false" customHeight="true" outlineLevel="0" collapsed="false">
      <c r="A107" s="4" t="s">
        <v>722</v>
      </c>
      <c r="B107" s="4" t="s">
        <v>703</v>
      </c>
      <c r="C107" s="4" t="s">
        <v>704</v>
      </c>
      <c r="D107" s="4" t="s">
        <v>583</v>
      </c>
      <c r="E107" s="4" t="s">
        <v>705</v>
      </c>
      <c r="F107" s="4" t="s">
        <v>706</v>
      </c>
      <c r="G107" s="4" t="s">
        <v>723</v>
      </c>
      <c r="H107" s="4" t="s">
        <v>583</v>
      </c>
      <c r="I107" s="4"/>
      <c r="J107" s="4" t="s">
        <v>724</v>
      </c>
      <c r="K107" s="4" t="s">
        <v>725</v>
      </c>
      <c r="L107" s="4" t="s">
        <v>711</v>
      </c>
      <c r="M107" s="4" t="s">
        <v>726</v>
      </c>
      <c r="N107" s="4" t="s">
        <v>70</v>
      </c>
      <c r="O107" s="12" t="s">
        <v>71</v>
      </c>
      <c r="P107" s="12" t="s">
        <v>727</v>
      </c>
      <c r="Q107" s="12" t="s">
        <v>73</v>
      </c>
      <c r="R107" s="12" t="s">
        <v>728</v>
      </c>
      <c r="S107" s="13" t="str">
        <f aca="false">IF(P107="","",IFERROR(VLOOKUP(P107,Components!$E$2:$H$83,3,FALSE()),"INVALID"))</f>
        <v>Poems / Collected Poems</v>
      </c>
      <c r="T107" s="13" t="str">
        <f aca="false">IF(P107="","",IFERROR(VLOOKUP(P107,Components!$E$2:$H$83,4,FALSE()),"INVALID"))</f>
        <v>SUCCESSOR</v>
      </c>
      <c r="U107" s="13" t="str">
        <f aca="false">IF(O107="","",IF(O107="ASSIGN_COMPONENT",IF(P107&lt;&gt;"","OK","CHECK: component required"),IF(O107="HOLD_UNRESOLVED",IF(P107="","OK","CHECK: clear component"),IF(O107="REGISTRY_ISSUE",IF(R107&lt;&gt;"","OK","CHECK: note required"),"CHECK"))))</f>
        <v>OK</v>
      </c>
    </row>
    <row r="108" customFormat="false" ht="36" hidden="false" customHeight="true" outlineLevel="0" collapsed="false">
      <c r="A108" s="4" t="s">
        <v>729</v>
      </c>
      <c r="B108" s="4" t="s">
        <v>703</v>
      </c>
      <c r="C108" s="4" t="s">
        <v>704</v>
      </c>
      <c r="D108" s="4" t="s">
        <v>583</v>
      </c>
      <c r="E108" s="4" t="s">
        <v>705</v>
      </c>
      <c r="F108" s="4" t="s">
        <v>706</v>
      </c>
      <c r="G108" s="4" t="s">
        <v>730</v>
      </c>
      <c r="H108" s="4" t="s">
        <v>583</v>
      </c>
      <c r="I108" s="4" t="s">
        <v>731</v>
      </c>
      <c r="J108" s="4" t="s">
        <v>410</v>
      </c>
      <c r="K108" s="4" t="s">
        <v>435</v>
      </c>
      <c r="L108" s="4" t="s">
        <v>711</v>
      </c>
      <c r="M108" s="4"/>
      <c r="N108" s="4" t="s">
        <v>70</v>
      </c>
      <c r="O108" s="12" t="s">
        <v>71</v>
      </c>
      <c r="P108" s="12" t="s">
        <v>727</v>
      </c>
      <c r="Q108" s="12" t="s">
        <v>73</v>
      </c>
      <c r="R108" s="12" t="s">
        <v>732</v>
      </c>
      <c r="S108" s="13" t="str">
        <f aca="false">IF(P108="","",IFERROR(VLOOKUP(P108,Components!$E$2:$H$83,3,FALSE()),"INVALID"))</f>
        <v>Poems / Collected Poems</v>
      </c>
      <c r="T108" s="13" t="str">
        <f aca="false">IF(P108="","",IFERROR(VLOOKUP(P108,Components!$E$2:$H$83,4,FALSE()),"INVALID"))</f>
        <v>SUCCESSOR</v>
      </c>
      <c r="U108" s="13" t="str">
        <f aca="false">IF(O108="","",IF(O108="ASSIGN_COMPONENT",IF(P108&lt;&gt;"","OK","CHECK: component required"),IF(O108="HOLD_UNRESOLVED",IF(P108="","OK","CHECK: clear component"),IF(O108="REGISTRY_ISSUE",IF(R108&lt;&gt;"","OK","CHECK: note required"),"CHECK"))))</f>
        <v>OK</v>
      </c>
    </row>
    <row r="109" customFormat="false" ht="36" hidden="false" customHeight="true" outlineLevel="0" collapsed="false">
      <c r="A109" s="4" t="s">
        <v>733</v>
      </c>
      <c r="B109" s="4" t="s">
        <v>703</v>
      </c>
      <c r="C109" s="4" t="s">
        <v>704</v>
      </c>
      <c r="D109" s="4" t="s">
        <v>583</v>
      </c>
      <c r="E109" s="4" t="s">
        <v>705</v>
      </c>
      <c r="F109" s="4" t="s">
        <v>706</v>
      </c>
      <c r="G109" s="4" t="s">
        <v>734</v>
      </c>
      <c r="H109" s="4" t="s">
        <v>705</v>
      </c>
      <c r="I109" s="4"/>
      <c r="J109" s="4" t="s">
        <v>669</v>
      </c>
      <c r="K109" s="4" t="s">
        <v>670</v>
      </c>
      <c r="L109" s="4" t="s">
        <v>711</v>
      </c>
      <c r="M109" s="4" t="s">
        <v>671</v>
      </c>
      <c r="N109" s="4" t="s">
        <v>70</v>
      </c>
      <c r="O109" s="12" t="s">
        <v>71</v>
      </c>
      <c r="P109" s="12" t="s">
        <v>735</v>
      </c>
      <c r="Q109" s="12" t="s">
        <v>73</v>
      </c>
      <c r="R109" s="12" t="s">
        <v>736</v>
      </c>
      <c r="S109" s="13" t="str">
        <f aca="false">IF(P109="","",IFERROR(VLOOKUP(P109,Components!$E$2:$H$83,3,FALSE()),"INVALID"))</f>
        <v>Selected Poems / Poetry for Young People</v>
      </c>
      <c r="T109" s="13" t="str">
        <f aca="false">IF(P109="","",IFERROR(VLOOKUP(P109,Components!$E$2:$H$83,4,FALSE()),"INVALID"))</f>
        <v>SUCCESSOR</v>
      </c>
      <c r="U109" s="13" t="str">
        <f aca="false">IF(O109="","",IF(O109="ASSIGN_COMPONENT",IF(P109&lt;&gt;"","OK","CHECK: component required"),IF(O109="HOLD_UNRESOLVED",IF(P109="","OK","CHECK: clear component"),IF(O109="REGISTRY_ISSUE",IF(R109&lt;&gt;"","OK","CHECK: note required"),"CHECK"))))</f>
        <v>OK</v>
      </c>
    </row>
    <row r="110" customFormat="false" ht="36" hidden="false" customHeight="true" outlineLevel="0" collapsed="false">
      <c r="A110" s="4" t="s">
        <v>737</v>
      </c>
      <c r="B110" s="4" t="s">
        <v>703</v>
      </c>
      <c r="C110" s="4" t="s">
        <v>704</v>
      </c>
      <c r="D110" s="4" t="s">
        <v>583</v>
      </c>
      <c r="E110" s="4" t="s">
        <v>705</v>
      </c>
      <c r="F110" s="4" t="s">
        <v>706</v>
      </c>
      <c r="G110" s="4" t="s">
        <v>738</v>
      </c>
      <c r="H110" s="4" t="s">
        <v>705</v>
      </c>
      <c r="I110" s="4"/>
      <c r="J110" s="4" t="s">
        <v>669</v>
      </c>
      <c r="K110" s="4" t="s">
        <v>670</v>
      </c>
      <c r="L110" s="4" t="s">
        <v>711</v>
      </c>
      <c r="M110" s="4" t="s">
        <v>671</v>
      </c>
      <c r="N110" s="4" t="s">
        <v>70</v>
      </c>
      <c r="O110" s="12" t="s">
        <v>71</v>
      </c>
      <c r="P110" s="12" t="s">
        <v>735</v>
      </c>
      <c r="Q110" s="12" t="s">
        <v>73</v>
      </c>
      <c r="R110" s="12" t="s">
        <v>736</v>
      </c>
      <c r="S110" s="13" t="str">
        <f aca="false">IF(P110="","",IFERROR(VLOOKUP(P110,Components!$E$2:$H$83,3,FALSE()),"INVALID"))</f>
        <v>Selected Poems / Poetry for Young People</v>
      </c>
      <c r="T110" s="13" t="str">
        <f aca="false">IF(P110="","",IFERROR(VLOOKUP(P110,Components!$E$2:$H$83,4,FALSE()),"INVALID"))</f>
        <v>SUCCESSOR</v>
      </c>
      <c r="U110" s="13" t="str">
        <f aca="false">IF(O110="","",IF(O110="ASSIGN_COMPONENT",IF(P110&lt;&gt;"","OK","CHECK: component required"),IF(O110="HOLD_UNRESOLVED",IF(P110="","OK","CHECK: clear component"),IF(O110="REGISTRY_ISSUE",IF(R110&lt;&gt;"","OK","CHECK: note required"),"CHECK"))))</f>
        <v>OK</v>
      </c>
    </row>
    <row r="111" customFormat="false" ht="36" hidden="false" customHeight="true" outlineLevel="0" collapsed="false">
      <c r="A111" s="4" t="s">
        <v>739</v>
      </c>
      <c r="B111" s="4" t="s">
        <v>703</v>
      </c>
      <c r="C111" s="4" t="s">
        <v>704</v>
      </c>
      <c r="D111" s="4" t="s">
        <v>583</v>
      </c>
      <c r="E111" s="4" t="s">
        <v>705</v>
      </c>
      <c r="F111" s="4" t="s">
        <v>706</v>
      </c>
      <c r="G111" s="4" t="s">
        <v>740</v>
      </c>
      <c r="H111" s="4" t="s">
        <v>705</v>
      </c>
      <c r="I111" s="4" t="s">
        <v>741</v>
      </c>
      <c r="J111" s="4" t="s">
        <v>110</v>
      </c>
      <c r="K111" s="4" t="s">
        <v>742</v>
      </c>
      <c r="L111" s="4" t="s">
        <v>711</v>
      </c>
      <c r="M111" s="4" t="s">
        <v>331</v>
      </c>
      <c r="N111" s="4" t="s">
        <v>70</v>
      </c>
      <c r="O111" s="12" t="s">
        <v>71</v>
      </c>
      <c r="P111" s="12" t="s">
        <v>743</v>
      </c>
      <c r="Q111" s="12" t="s">
        <v>70</v>
      </c>
      <c r="R111" s="12" t="s">
        <v>744</v>
      </c>
      <c r="S111" s="13" t="str">
        <f aca="false">IF(P111="","",IFERROR(VLOOKUP(P111,Components!$E$2:$H$83,3,FALSE()),"INVALID"))</f>
        <v>Fiction / Pacific writings</v>
      </c>
      <c r="T111" s="13" t="str">
        <f aca="false">IF(P111="","",IFERROR(VLOOKUP(P111,Components!$E$2:$H$83,4,FALSE()),"INVALID"))</f>
        <v>DETACH</v>
      </c>
      <c r="U111" s="13" t="str">
        <f aca="false">IF(O111="","",IF(O111="ASSIGN_COMPONENT",IF(P111&lt;&gt;"","OK","CHECK: component required"),IF(O111="HOLD_UNRESOLVED",IF(P111="","OK","CHECK: clear component"),IF(O111="REGISTRY_ISSUE",IF(R111&lt;&gt;"","OK","CHECK: note required"),"CHECK"))))</f>
        <v>OK</v>
      </c>
    </row>
    <row r="112" customFormat="false" ht="36" hidden="false" customHeight="true" outlineLevel="0" collapsed="false">
      <c r="A112" s="4" t="s">
        <v>745</v>
      </c>
      <c r="B112" s="4" t="s">
        <v>703</v>
      </c>
      <c r="C112" s="4" t="s">
        <v>704</v>
      </c>
      <c r="D112" s="4" t="s">
        <v>583</v>
      </c>
      <c r="E112" s="4" t="s">
        <v>705</v>
      </c>
      <c r="F112" s="4" t="s">
        <v>706</v>
      </c>
      <c r="G112" s="4" t="s">
        <v>746</v>
      </c>
      <c r="H112" s="4" t="s">
        <v>705</v>
      </c>
      <c r="I112" s="4" t="s">
        <v>747</v>
      </c>
      <c r="J112" s="4" t="s">
        <v>748</v>
      </c>
      <c r="K112" s="4" t="s">
        <v>749</v>
      </c>
      <c r="L112" s="4" t="s">
        <v>711</v>
      </c>
      <c r="M112" s="4"/>
      <c r="N112" s="4" t="s">
        <v>70</v>
      </c>
      <c r="O112" s="12" t="s">
        <v>71</v>
      </c>
      <c r="P112" s="12" t="s">
        <v>750</v>
      </c>
      <c r="Q112" s="12" t="s">
        <v>70</v>
      </c>
      <c r="R112" s="12" t="s">
        <v>751</v>
      </c>
      <c r="S112" s="13" t="str">
        <f aca="false">IF(P112="","",IFERROR(VLOOKUP(P112,Components!$E$2:$H$83,3,FALSE()),"INVALID"))</f>
        <v>Treasure Island study apparatus</v>
      </c>
      <c r="T112" s="13" t="str">
        <f aca="false">IF(P112="","",IFERROR(VLOOKUP(P112,Components!$E$2:$H$83,4,FALSE()),"INVALID"))</f>
        <v>EXCLUDE_APPARATUS</v>
      </c>
      <c r="U112" s="13" t="str">
        <f aca="false">IF(O112="","",IF(O112="ASSIGN_COMPONENT",IF(P112&lt;&gt;"","OK","CHECK: component required"),IF(O112="HOLD_UNRESOLVED",IF(P112="","OK","CHECK: clear component"),IF(O112="REGISTRY_ISSUE",IF(R112&lt;&gt;"","OK","CHECK: note required"),"CHECK"))))</f>
        <v>OK</v>
      </c>
    </row>
    <row r="113" customFormat="false" ht="36" hidden="false" customHeight="true" outlineLevel="0" collapsed="false">
      <c r="A113" s="4" t="s">
        <v>752</v>
      </c>
      <c r="B113" s="4" t="s">
        <v>703</v>
      </c>
      <c r="C113" s="4" t="s">
        <v>704</v>
      </c>
      <c r="D113" s="4" t="s">
        <v>583</v>
      </c>
      <c r="E113" s="4" t="s">
        <v>705</v>
      </c>
      <c r="F113" s="4" t="s">
        <v>706</v>
      </c>
      <c r="G113" s="4" t="s">
        <v>753</v>
      </c>
      <c r="H113" s="4" t="s">
        <v>705</v>
      </c>
      <c r="I113" s="4" t="s">
        <v>754</v>
      </c>
      <c r="J113" s="4" t="s">
        <v>755</v>
      </c>
      <c r="K113" s="4" t="s">
        <v>756</v>
      </c>
      <c r="L113" s="4"/>
      <c r="M113" s="4"/>
      <c r="N113" s="4" t="s">
        <v>70</v>
      </c>
      <c r="O113" s="12" t="s">
        <v>97</v>
      </c>
      <c r="P113" s="14"/>
      <c r="Q113" s="12" t="s">
        <v>73</v>
      </c>
      <c r="R113" s="12" t="s">
        <v>757</v>
      </c>
      <c r="S113" s="13" t="str">
        <f aca="false">IF(P113="","",IFERROR(VLOOKUP(P113,Components!$E$2:$H$83,3,FALSE()),"INVALID"))</f>
        <v/>
      </c>
      <c r="T113" s="13" t="str">
        <f aca="false">IF(P113="","",IFERROR(VLOOKUP(P113,Components!$E$2:$H$83,4,FALSE()),"INVALID"))</f>
        <v/>
      </c>
      <c r="U113" s="13" t="str">
        <f aca="false">IF(O113="","",IF(O113="ASSIGN_COMPONENT",IF(P113&lt;&gt;"","OK","CHECK: component required"),IF(O113="HOLD_UNRESOLVED",IF(P113="","OK","CHECK: clear component"),IF(O113="REGISTRY_ISSUE",IF(R113&lt;&gt;"","OK","CHECK: note required"),"CHECK"))))</f>
        <v>OK</v>
      </c>
    </row>
    <row r="114" customFormat="false" ht="36" hidden="false" customHeight="true" outlineLevel="0" collapsed="false">
      <c r="A114" s="4" t="s">
        <v>758</v>
      </c>
      <c r="B114" s="4" t="s">
        <v>703</v>
      </c>
      <c r="C114" s="4" t="s">
        <v>704</v>
      </c>
      <c r="D114" s="4" t="s">
        <v>583</v>
      </c>
      <c r="E114" s="4" t="s">
        <v>705</v>
      </c>
      <c r="F114" s="4" t="s">
        <v>706</v>
      </c>
      <c r="G114" s="4" t="s">
        <v>759</v>
      </c>
      <c r="H114" s="4" t="s">
        <v>705</v>
      </c>
      <c r="I114" s="4" t="s">
        <v>760</v>
      </c>
      <c r="J114" s="4" t="s">
        <v>699</v>
      </c>
      <c r="K114" s="4" t="s">
        <v>700</v>
      </c>
      <c r="L114" s="4" t="s">
        <v>711</v>
      </c>
      <c r="M114" s="4" t="s">
        <v>761</v>
      </c>
      <c r="N114" s="4" t="s">
        <v>70</v>
      </c>
      <c r="O114" s="12" t="s">
        <v>71</v>
      </c>
      <c r="P114" s="12" t="s">
        <v>743</v>
      </c>
      <c r="Q114" s="12" t="s">
        <v>70</v>
      </c>
      <c r="R114" s="12" t="s">
        <v>762</v>
      </c>
      <c r="S114" s="13" t="str">
        <f aca="false">IF(P114="","",IFERROR(VLOOKUP(P114,Components!$E$2:$H$83,3,FALSE()),"INVALID"))</f>
        <v>Fiction / Pacific writings</v>
      </c>
      <c r="T114" s="13" t="str">
        <f aca="false">IF(P114="","",IFERROR(VLOOKUP(P114,Components!$E$2:$H$83,4,FALSE()),"INVALID"))</f>
        <v>DETACH</v>
      </c>
      <c r="U114" s="13" t="str">
        <f aca="false">IF(O114="","",IF(O114="ASSIGN_COMPONENT",IF(P114&lt;&gt;"","OK","CHECK: component required"),IF(O114="HOLD_UNRESOLVED",IF(P114="","OK","CHECK: clear component"),IF(O114="REGISTRY_ISSUE",IF(R114&lt;&gt;"","OK","CHECK: note required"),"CHECK"))))</f>
        <v>OK</v>
      </c>
    </row>
    <row r="115" customFormat="false" ht="36" hidden="false" customHeight="true" outlineLevel="0" collapsed="false">
      <c r="A115" s="4" t="s">
        <v>763</v>
      </c>
      <c r="B115" s="4" t="s">
        <v>703</v>
      </c>
      <c r="C115" s="4" t="s">
        <v>704</v>
      </c>
      <c r="D115" s="4" t="s">
        <v>583</v>
      </c>
      <c r="E115" s="4" t="s">
        <v>705</v>
      </c>
      <c r="F115" s="4" t="s">
        <v>706</v>
      </c>
      <c r="G115" s="4" t="s">
        <v>764</v>
      </c>
      <c r="H115" s="4" t="s">
        <v>705</v>
      </c>
      <c r="I115" s="4" t="s">
        <v>765</v>
      </c>
      <c r="J115" s="4" t="s">
        <v>766</v>
      </c>
      <c r="K115" s="4" t="s">
        <v>767</v>
      </c>
      <c r="L115" s="4" t="s">
        <v>768</v>
      </c>
      <c r="M115" s="4" t="s">
        <v>331</v>
      </c>
      <c r="N115" s="4" t="s">
        <v>70</v>
      </c>
      <c r="O115" s="12" t="s">
        <v>71</v>
      </c>
      <c r="P115" s="12" t="s">
        <v>743</v>
      </c>
      <c r="Q115" s="12" t="s">
        <v>70</v>
      </c>
      <c r="R115" s="12" t="s">
        <v>744</v>
      </c>
      <c r="S115" s="13" t="str">
        <f aca="false">IF(P115="","",IFERROR(VLOOKUP(P115,Components!$E$2:$H$83,3,FALSE()),"INVALID"))</f>
        <v>Fiction / Pacific writings</v>
      </c>
      <c r="T115" s="13" t="str">
        <f aca="false">IF(P115="","",IFERROR(VLOOKUP(P115,Components!$E$2:$H$83,4,FALSE()),"INVALID"))</f>
        <v>DETACH</v>
      </c>
      <c r="U115" s="13" t="str">
        <f aca="false">IF(O115="","",IF(O115="ASSIGN_COMPONENT",IF(P115&lt;&gt;"","OK","CHECK: component required"),IF(O115="HOLD_UNRESOLVED",IF(P115="","OK","CHECK: clear component"),IF(O115="REGISTRY_ISSUE",IF(R115&lt;&gt;"","OK","CHECK: note required"),"CHECK"))))</f>
        <v>OK</v>
      </c>
    </row>
    <row r="116" customFormat="false" ht="36" hidden="false" customHeight="true" outlineLevel="0" collapsed="false">
      <c r="A116" s="4" t="s">
        <v>769</v>
      </c>
      <c r="B116" s="4" t="s">
        <v>703</v>
      </c>
      <c r="C116" s="4" t="s">
        <v>704</v>
      </c>
      <c r="D116" s="4" t="s">
        <v>583</v>
      </c>
      <c r="E116" s="4" t="s">
        <v>705</v>
      </c>
      <c r="F116" s="4" t="s">
        <v>706</v>
      </c>
      <c r="G116" s="4" t="s">
        <v>770</v>
      </c>
      <c r="H116" s="4" t="s">
        <v>705</v>
      </c>
      <c r="I116" s="4" t="s">
        <v>771</v>
      </c>
      <c r="J116" s="4" t="s">
        <v>772</v>
      </c>
      <c r="K116" s="4" t="s">
        <v>773</v>
      </c>
      <c r="L116" s="4" t="s">
        <v>711</v>
      </c>
      <c r="M116" s="4"/>
      <c r="N116" s="4" t="s">
        <v>70</v>
      </c>
      <c r="O116" s="12" t="s">
        <v>71</v>
      </c>
      <c r="P116" s="12" t="s">
        <v>743</v>
      </c>
      <c r="Q116" s="12" t="s">
        <v>70</v>
      </c>
      <c r="R116" s="12" t="s">
        <v>774</v>
      </c>
      <c r="S116" s="13" t="str">
        <f aca="false">IF(P116="","",IFERROR(VLOOKUP(P116,Components!$E$2:$H$83,3,FALSE()),"INVALID"))</f>
        <v>Fiction / Pacific writings</v>
      </c>
      <c r="T116" s="13" t="str">
        <f aca="false">IF(P116="","",IFERROR(VLOOKUP(P116,Components!$E$2:$H$83,4,FALSE()),"INVALID"))</f>
        <v>DETACH</v>
      </c>
      <c r="U116" s="13" t="str">
        <f aca="false">IF(O116="","",IF(O116="ASSIGN_COMPONENT",IF(P116&lt;&gt;"","OK","CHECK: component required"),IF(O116="HOLD_UNRESOLVED",IF(P116="","OK","CHECK: clear component"),IF(O116="REGISTRY_ISSUE",IF(R116&lt;&gt;"","OK","CHECK: note required"),"CHECK"))))</f>
        <v>OK</v>
      </c>
    </row>
    <row r="117" customFormat="false" ht="36" hidden="false" customHeight="true" outlineLevel="0" collapsed="false">
      <c r="A117" s="4" t="s">
        <v>775</v>
      </c>
      <c r="B117" s="4" t="s">
        <v>776</v>
      </c>
      <c r="C117" s="4" t="s">
        <v>777</v>
      </c>
      <c r="D117" s="4" t="s">
        <v>583</v>
      </c>
      <c r="E117" s="4" t="s">
        <v>778</v>
      </c>
      <c r="F117" s="4" t="s">
        <v>779</v>
      </c>
      <c r="G117" s="4" t="s">
        <v>780</v>
      </c>
      <c r="H117" s="4" t="s">
        <v>781</v>
      </c>
      <c r="I117" s="4"/>
      <c r="J117" s="4" t="s">
        <v>782</v>
      </c>
      <c r="K117" s="4" t="s">
        <v>783</v>
      </c>
      <c r="L117" s="4" t="s">
        <v>784</v>
      </c>
      <c r="M117" s="4" t="s">
        <v>785</v>
      </c>
      <c r="N117" s="4" t="s">
        <v>70</v>
      </c>
      <c r="O117" s="12" t="s">
        <v>71</v>
      </c>
      <c r="P117" s="12" t="s">
        <v>786</v>
      </c>
      <c r="Q117" s="12" t="s">
        <v>70</v>
      </c>
      <c r="R117" s="12" t="s">
        <v>787</v>
      </c>
      <c r="S117" s="13" t="str">
        <f aca="false">IF(P117="","",IFERROR(VLOOKUP(P117,Components!$E$2:$H$83,3,FALSE()),"INVALID"))</f>
        <v>Azul</v>
      </c>
      <c r="T117" s="13" t="str">
        <f aca="false">IF(P117="","",IFERROR(VLOOKUP(P117,Components!$E$2:$H$83,4,FALSE()),"INVALID"))</f>
        <v>SUCCESSOR</v>
      </c>
      <c r="U117" s="13" t="str">
        <f aca="false">IF(O117="","",IF(O117="ASSIGN_COMPONENT",IF(P117&lt;&gt;"","OK","CHECK: component required"),IF(O117="HOLD_UNRESOLVED",IF(P117="","OK","CHECK: clear component"),IF(O117="REGISTRY_ISSUE",IF(R117&lt;&gt;"","OK","CHECK: note required"),"CHECK"))))</f>
        <v>OK</v>
      </c>
    </row>
    <row r="118" customFormat="false" ht="36" hidden="false" customHeight="true" outlineLevel="0" collapsed="false">
      <c r="A118" s="4" t="s">
        <v>788</v>
      </c>
      <c r="B118" s="4" t="s">
        <v>776</v>
      </c>
      <c r="C118" s="4" t="s">
        <v>777</v>
      </c>
      <c r="D118" s="4" t="s">
        <v>583</v>
      </c>
      <c r="E118" s="4" t="s">
        <v>778</v>
      </c>
      <c r="F118" s="4" t="s">
        <v>779</v>
      </c>
      <c r="G118" s="4" t="s">
        <v>789</v>
      </c>
      <c r="H118" s="4" t="s">
        <v>790</v>
      </c>
      <c r="I118" s="4"/>
      <c r="J118" s="4" t="s">
        <v>791</v>
      </c>
      <c r="K118" s="4" t="s">
        <v>792</v>
      </c>
      <c r="L118" s="4" t="s">
        <v>784</v>
      </c>
      <c r="M118" s="4" t="s">
        <v>793</v>
      </c>
      <c r="N118" s="4" t="s">
        <v>70</v>
      </c>
      <c r="O118" s="12" t="s">
        <v>71</v>
      </c>
      <c r="P118" s="12" t="s">
        <v>794</v>
      </c>
      <c r="Q118" s="12" t="s">
        <v>73</v>
      </c>
      <c r="R118" s="12" t="s">
        <v>795</v>
      </c>
      <c r="S118" s="13" t="str">
        <f aca="false">IF(P118="","",IFERROR(VLOOKUP(P118,Components!$E$2:$H$83,3,FALSE()),"INVALID"))</f>
        <v>Complete poetry / complete works</v>
      </c>
      <c r="T118" s="13" t="str">
        <f aca="false">IF(P118="","",IFERROR(VLOOKUP(P118,Components!$E$2:$H$83,4,FALSE()),"INVALID"))</f>
        <v>SUCCESSOR</v>
      </c>
      <c r="U118" s="13" t="str">
        <f aca="false">IF(O118="","",IF(O118="ASSIGN_COMPONENT",IF(P118&lt;&gt;"","OK","CHECK: component required"),IF(O118="HOLD_UNRESOLVED",IF(P118="","OK","CHECK: clear component"),IF(O118="REGISTRY_ISSUE",IF(R118&lt;&gt;"","OK","CHECK: note required"),"CHECK"))))</f>
        <v>OK</v>
      </c>
    </row>
    <row r="119" customFormat="false" ht="36" hidden="false" customHeight="true" outlineLevel="0" collapsed="false">
      <c r="A119" s="4" t="s">
        <v>796</v>
      </c>
      <c r="B119" s="4" t="s">
        <v>776</v>
      </c>
      <c r="C119" s="4" t="s">
        <v>777</v>
      </c>
      <c r="D119" s="4" t="s">
        <v>583</v>
      </c>
      <c r="E119" s="4" t="s">
        <v>778</v>
      </c>
      <c r="F119" s="4" t="s">
        <v>779</v>
      </c>
      <c r="G119" s="4" t="s">
        <v>797</v>
      </c>
      <c r="H119" s="4" t="s">
        <v>798</v>
      </c>
      <c r="I119" s="4" t="s">
        <v>799</v>
      </c>
      <c r="J119" s="4" t="s">
        <v>800</v>
      </c>
      <c r="K119" s="4" t="s">
        <v>801</v>
      </c>
      <c r="L119" s="4" t="s">
        <v>784</v>
      </c>
      <c r="M119" s="4" t="s">
        <v>802</v>
      </c>
      <c r="N119" s="4" t="s">
        <v>70</v>
      </c>
      <c r="O119" s="12" t="s">
        <v>71</v>
      </c>
      <c r="P119" s="12" t="s">
        <v>786</v>
      </c>
      <c r="Q119" s="12" t="s">
        <v>73</v>
      </c>
      <c r="R119" s="12" t="s">
        <v>803</v>
      </c>
      <c r="S119" s="13" t="str">
        <f aca="false">IF(P119="","",IFERROR(VLOOKUP(P119,Components!$E$2:$H$83,3,FALSE()),"INVALID"))</f>
        <v>Azul</v>
      </c>
      <c r="T119" s="13" t="str">
        <f aca="false">IF(P119="","",IFERROR(VLOOKUP(P119,Components!$E$2:$H$83,4,FALSE()),"INVALID"))</f>
        <v>SUCCESSOR</v>
      </c>
      <c r="U119" s="13" t="str">
        <f aca="false">IF(O119="","",IF(O119="ASSIGN_COMPONENT",IF(P119&lt;&gt;"","OK","CHECK: component required"),IF(O119="HOLD_UNRESOLVED",IF(P119="","OK","CHECK: clear component"),IF(O119="REGISTRY_ISSUE",IF(R119&lt;&gt;"","OK","CHECK: note required"),"CHECK"))))</f>
        <v>OK</v>
      </c>
    </row>
  </sheetData>
  <conditionalFormatting sqref="U2:U119">
    <cfRule type="expression" priority="2" aboveAverage="0" equalAverage="0" bottom="0" percent="0" rank="0" text="" dxfId="8">
      <formula>AND(U2&lt;&gt;"",U2&lt;&gt;"OK")</formula>
    </cfRule>
    <cfRule type="expression" priority="3" aboveAverage="0" equalAverage="0" bottom="0" percent="0" rank="0" text="" dxfId="9">
      <formula>U2="OK"</formula>
    </cfRule>
  </conditionalFormatting>
  <dataValidations count="120">
    <dataValidation allowBlank="false" errorStyle="stop" operator="between" showDropDown="false" showErrorMessage="false" showInputMessage="false" sqref="O2:O119" type="list">
      <formula1>ValidationLists!$A$2:$A$4</formula1>
      <formula2>0</formula2>
    </dataValidation>
    <dataValidation allowBlank="false" errorStyle="stop" operator="between" showDropDown="false" showErrorMessage="false" showInputMessage="false" sqref="Q2:Q119" type="list">
      <formula1>ValidationLists!$B$2:$B$4</formula1>
      <formula2>0</formula2>
    </dataValidation>
    <dataValidation allowBlank="false" errorStyle="stop" operator="between" showDropDown="false" showErrorMessage="false" showInputMessage="false" sqref="P2" type="list">
      <formula1>ValidationLists!$N$2:$N$9</formula1>
      <formula2>0</formula2>
    </dataValidation>
    <dataValidation allowBlank="false" errorStyle="stop" operator="between" showDropDown="false" showErrorMessage="false" showInputMessage="false" sqref="P3" type="list">
      <formula1>ValidationLists!$N$2:$N$9</formula1>
      <formula2>0</formula2>
    </dataValidation>
    <dataValidation allowBlank="false" errorStyle="stop" operator="between" showDropDown="false" showErrorMessage="false" showInputMessage="false" sqref="P4" type="list">
      <formula1>ValidationLists!$N$2:$N$9</formula1>
      <formula2>0</formula2>
    </dataValidation>
    <dataValidation allowBlank="false" errorStyle="stop" operator="between" showDropDown="false" showErrorMessage="false" showInputMessage="false" sqref="P5" type="list">
      <formula1>ValidationLists!$N$2:$N$9</formula1>
      <formula2>0</formula2>
    </dataValidation>
    <dataValidation allowBlank="false" errorStyle="stop" operator="between" showDropDown="false" showErrorMessage="false" showInputMessage="false" sqref="P6" type="list">
      <formula1>ValidationLists!$N$2:$N$9</formula1>
      <formula2>0</formula2>
    </dataValidation>
    <dataValidation allowBlank="false" errorStyle="stop" operator="between" showDropDown="false" showErrorMessage="false" showInputMessage="false" sqref="P7" type="list">
      <formula1>ValidationLists!$T$2:$T$4</formula1>
      <formula2>0</formula2>
    </dataValidation>
    <dataValidation allowBlank="false" errorStyle="stop" operator="between" showDropDown="false" showErrorMessage="false" showInputMessage="false" sqref="P8" type="list">
      <formula1>ValidationLists!$T$2:$T$4</formula1>
      <formula2>0</formula2>
    </dataValidation>
    <dataValidation allowBlank="false" errorStyle="stop" operator="between" showDropDown="false" showErrorMessage="false" showInputMessage="false" sqref="P9" type="list">
      <formula1>ValidationLists!$S$2:$S$7</formula1>
      <formula2>0</formula2>
    </dataValidation>
    <dataValidation allowBlank="false" errorStyle="stop" operator="between" showDropDown="false" showErrorMessage="false" showInputMessage="false" sqref="P10" type="list">
      <formula1>ValidationLists!$S$2:$S$7</formula1>
      <formula2>0</formula2>
    </dataValidation>
    <dataValidation allowBlank="false" errorStyle="stop" operator="between" showDropDown="false" showErrorMessage="false" showInputMessage="false" sqref="P11" type="list">
      <formula1>ValidationLists!$S$2:$S$7</formula1>
      <formula2>0</formula2>
    </dataValidation>
    <dataValidation allowBlank="false" errorStyle="stop" operator="between" showDropDown="false" showErrorMessage="false" showInputMessage="false" sqref="P12" type="list">
      <formula1>ValidationLists!$S$2:$S$7</formula1>
      <formula2>0</formula2>
    </dataValidation>
    <dataValidation allowBlank="false" errorStyle="stop" operator="between" showDropDown="false" showErrorMessage="false" showInputMessage="false" sqref="P13" type="list">
      <formula1>ValidationLists!$S$2:$S$7</formula1>
      <formula2>0</formula2>
    </dataValidation>
    <dataValidation allowBlank="false" errorStyle="stop" operator="between" showDropDown="false" showErrorMessage="false" showInputMessage="false" sqref="P14" type="list">
      <formula1>ValidationLists!$S$2:$S$7</formula1>
      <formula2>0</formula2>
    </dataValidation>
    <dataValidation allowBlank="false" errorStyle="stop" operator="between" showDropDown="false" showErrorMessage="false" showInputMessage="false" sqref="P15" type="list">
      <formula1>ValidationLists!$S$2:$S$7</formula1>
      <formula2>0</formula2>
    </dataValidation>
    <dataValidation allowBlank="false" errorStyle="stop" operator="between" showDropDown="false" showErrorMessage="false" showInputMessage="false" sqref="P16" type="list">
      <formula1>ValidationLists!$Q$2:$Q$6</formula1>
      <formula2>0</formula2>
    </dataValidation>
    <dataValidation allowBlank="false" errorStyle="stop" operator="between" showDropDown="false" showErrorMessage="false" showInputMessage="false" sqref="P17" type="list">
      <formula1>ValidationLists!$Q$2:$Q$6</formula1>
      <formula2>0</formula2>
    </dataValidation>
    <dataValidation allowBlank="false" errorStyle="stop" operator="between" showDropDown="false" showErrorMessage="false" showInputMessage="false" sqref="P18" type="list">
      <formula1>ValidationLists!$Q$2:$Q$6</formula1>
      <formula2>0</formula2>
    </dataValidation>
    <dataValidation allowBlank="false" errorStyle="stop" operator="between" showDropDown="false" showErrorMessage="false" showInputMessage="false" sqref="P19" type="list">
      <formula1>ValidationLists!$E$2:$E$4</formula1>
      <formula2>0</formula2>
    </dataValidation>
    <dataValidation allowBlank="false" errorStyle="stop" operator="between" showDropDown="false" showErrorMessage="false" showInputMessage="false" sqref="P20" type="list">
      <formula1>ValidationLists!$E$2:$E$4</formula1>
      <formula2>0</formula2>
    </dataValidation>
    <dataValidation allowBlank="false" errorStyle="stop" operator="between" showDropDown="false" showErrorMessage="false" showInputMessage="false" sqref="P21" type="list">
      <formula1>ValidationLists!$J$2:$J$5</formula1>
      <formula2>0</formula2>
    </dataValidation>
    <dataValidation allowBlank="false" errorStyle="stop" operator="between" showDropDown="false" showErrorMessage="false" showInputMessage="false" sqref="P22" type="list">
      <formula1>ValidationLists!$J$2:$J$5</formula1>
      <formula2>0</formula2>
    </dataValidation>
    <dataValidation allowBlank="false" errorStyle="stop" operator="between" showDropDown="false" showErrorMessage="false" showInputMessage="false" sqref="P23" type="list">
      <formula1>ValidationLists!$J$2:$J$5</formula1>
      <formula2>0</formula2>
    </dataValidation>
    <dataValidation allowBlank="false" errorStyle="stop" operator="between" showDropDown="false" showErrorMessage="false" showInputMessage="false" sqref="P24" type="list">
      <formula1>ValidationLists!$J$2:$J$5</formula1>
      <formula2>0</formula2>
    </dataValidation>
    <dataValidation allowBlank="false" errorStyle="stop" operator="between" showDropDown="false" showErrorMessage="false" showInputMessage="false" sqref="P25" type="list">
      <formula1>ValidationLists!$J$2:$J$5</formula1>
      <formula2>0</formula2>
    </dataValidation>
    <dataValidation allowBlank="false" errorStyle="stop" operator="between" showDropDown="false" showErrorMessage="false" showInputMessage="false" sqref="P26" type="list">
      <formula1>ValidationLists!$J$2:$J$5</formula1>
      <formula2>0</formula2>
    </dataValidation>
    <dataValidation allowBlank="false" errorStyle="stop" operator="between" showDropDown="false" showErrorMessage="false" showInputMessage="false" sqref="P27" type="list">
      <formula1>ValidationLists!$J$2:$J$5</formula1>
      <formula2>0</formula2>
    </dataValidation>
    <dataValidation allowBlank="false" errorStyle="stop" operator="between" showDropDown="false" showErrorMessage="false" showInputMessage="false" sqref="P28" type="list">
      <formula1>ValidationLists!$M$2:$M$5</formula1>
      <formula2>0</formula2>
    </dataValidation>
    <dataValidation allowBlank="false" errorStyle="stop" operator="between" showDropDown="false" showErrorMessage="false" showInputMessage="false" sqref="P29" type="list">
      <formula1>ValidationLists!$M$2:$M$5</formula1>
      <formula2>0</formula2>
    </dataValidation>
    <dataValidation allowBlank="false" errorStyle="stop" operator="between" showDropDown="false" showErrorMessage="false" showInputMessage="false" sqref="P30" type="list">
      <formula1>ValidationLists!$O$2:$O$7</formula1>
      <formula2>0</formula2>
    </dataValidation>
    <dataValidation allowBlank="false" errorStyle="stop" operator="between" showDropDown="false" showErrorMessage="false" showInputMessage="false" sqref="P31" type="list">
      <formula1>ValidationLists!$O$2:$O$7</formula1>
      <formula2>0</formula2>
    </dataValidation>
    <dataValidation allowBlank="false" errorStyle="stop" operator="between" showDropDown="false" showErrorMessage="false" showInputMessage="false" sqref="P32" type="list">
      <formula1>ValidationLists!$O$2:$O$7</formula1>
      <formula2>0</formula2>
    </dataValidation>
    <dataValidation allowBlank="false" errorStyle="stop" operator="between" showDropDown="false" showErrorMessage="false" showInputMessage="false" sqref="P33" type="list">
      <formula1>ValidationLists!$O$2:$O$7</formula1>
      <formula2>0</formula2>
    </dataValidation>
    <dataValidation allowBlank="false" errorStyle="stop" operator="between" showDropDown="false" showErrorMessage="false" showInputMessage="false" sqref="P34" type="list">
      <formula1>ValidationLists!$O$2:$O$7</formula1>
      <formula2>0</formula2>
    </dataValidation>
    <dataValidation allowBlank="false" errorStyle="stop" operator="between" showDropDown="false" showErrorMessage="false" showInputMessage="false" sqref="P35" type="list">
      <formula1>ValidationLists!$O$2:$O$7</formula1>
      <formula2>0</formula2>
    </dataValidation>
    <dataValidation allowBlank="false" errorStyle="stop" operator="between" showDropDown="false" showErrorMessage="false" showInputMessage="false" sqref="P36" type="list">
      <formula1>ValidationLists!$O$2:$O$7</formula1>
      <formula2>0</formula2>
    </dataValidation>
    <dataValidation allowBlank="false" errorStyle="stop" operator="between" showDropDown="false" showErrorMessage="false" showInputMessage="false" sqref="P37" type="list">
      <formula1>ValidationLists!$O$2:$O$7</formula1>
      <formula2>0</formula2>
    </dataValidation>
    <dataValidation allowBlank="false" errorStyle="stop" operator="between" showDropDown="false" showErrorMessage="false" showInputMessage="false" sqref="P38" type="list">
      <formula1>ValidationLists!$O$2:$O$7</formula1>
      <formula2>0</formula2>
    </dataValidation>
    <dataValidation allowBlank="false" errorStyle="stop" operator="between" showDropDown="false" showErrorMessage="false" showInputMessage="false" sqref="P39" type="list">
      <formula1>ValidationLists!$O$2:$O$7</formula1>
      <formula2>0</formula2>
    </dataValidation>
    <dataValidation allowBlank="false" errorStyle="stop" operator="between" showDropDown="false" showErrorMessage="false" showInputMessage="false" sqref="P40" type="list">
      <formula1>ValidationLists!$O$2:$O$7</formula1>
      <formula2>0</formula2>
    </dataValidation>
    <dataValidation allowBlank="false" errorStyle="stop" operator="between" showDropDown="false" showErrorMessage="false" showInputMessage="false" sqref="P41" type="list">
      <formula1>ValidationLists!$L$2:$L$5</formula1>
      <formula2>0</formula2>
    </dataValidation>
    <dataValidation allowBlank="false" errorStyle="stop" operator="between" showDropDown="false" showErrorMessage="false" showInputMessage="false" sqref="P42" type="list">
      <formula1>ValidationLists!$L$2:$L$5</formula1>
      <formula2>0</formula2>
    </dataValidation>
    <dataValidation allowBlank="false" errorStyle="stop" operator="between" showDropDown="false" showErrorMessage="false" showInputMessage="false" sqref="P43" type="list">
      <formula1>ValidationLists!$L$2:$L$5</formula1>
      <formula2>0</formula2>
    </dataValidation>
    <dataValidation allowBlank="false" errorStyle="stop" operator="between" showDropDown="false" showErrorMessage="false" showInputMessage="false" sqref="P44" type="list">
      <formula1>ValidationLists!$L$2:$L$5</formula1>
      <formula2>0</formula2>
    </dataValidation>
    <dataValidation allowBlank="false" errorStyle="stop" operator="between" showDropDown="false" showErrorMessage="false" showInputMessage="false" sqref="P45" type="list">
      <formula1>ValidationLists!$L$2:$L$5</formula1>
      <formula2>0</formula2>
    </dataValidation>
    <dataValidation allowBlank="false" errorStyle="stop" operator="between" showDropDown="false" showErrorMessage="false" showInputMessage="false" sqref="P46" type="list">
      <formula1>ValidationLists!$L$2:$L$5</formula1>
      <formula2>0</formula2>
    </dataValidation>
    <dataValidation allowBlank="false" errorStyle="stop" operator="between" showDropDown="false" showErrorMessage="false" showInputMessage="false" sqref="P47" type="list">
      <formula1>ValidationLists!$L$2:$L$5</formula1>
      <formula2>0</formula2>
    </dataValidation>
    <dataValidation allowBlank="false" errorStyle="stop" operator="between" showDropDown="false" showErrorMessage="false" showInputMessage="false" sqref="P48" type="list">
      <formula1>ValidationLists!$L$2:$L$5</formula1>
      <formula2>0</formula2>
    </dataValidation>
    <dataValidation allowBlank="false" errorStyle="stop" operator="between" showDropDown="false" showErrorMessage="false" showInputMessage="false" sqref="P49" type="list">
      <formula1>ValidationLists!$L$2:$L$5</formula1>
      <formula2>0</formula2>
    </dataValidation>
    <dataValidation allowBlank="false" errorStyle="stop" operator="between" showDropDown="false" showErrorMessage="false" showInputMessage="false" sqref="P50" type="list">
      <formula1>ValidationLists!$G$2:$G$5</formula1>
      <formula2>0</formula2>
    </dataValidation>
    <dataValidation allowBlank="false" errorStyle="stop" operator="between" showDropDown="false" showErrorMessage="false" showInputMessage="false" sqref="P51" type="list">
      <formula1>ValidationLists!$G$2:$G$5</formula1>
      <formula2>0</formula2>
    </dataValidation>
    <dataValidation allowBlank="false" errorStyle="stop" operator="between" showDropDown="false" showErrorMessage="false" showInputMessage="false" sqref="P52" type="list">
      <formula1>ValidationLists!$G$2:$G$5</formula1>
      <formula2>0</formula2>
    </dataValidation>
    <dataValidation allowBlank="false" errorStyle="stop" operator="between" showDropDown="false" showErrorMessage="false" showInputMessage="false" sqref="P53" type="list">
      <formula1>ValidationLists!$G$2:$G$5</formula1>
      <formula2>0</formula2>
    </dataValidation>
    <dataValidation allowBlank="false" errorStyle="stop" operator="between" showDropDown="false" showErrorMessage="false" showInputMessage="false" sqref="P54" type="list">
      <formula1>ValidationLists!$G$2:$G$5</formula1>
      <formula2>0</formula2>
    </dataValidation>
    <dataValidation allowBlank="false" errorStyle="stop" operator="between" showDropDown="false" showErrorMessage="false" showInputMessage="false" sqref="P55" type="list">
      <formula1>ValidationLists!$G$2:$G$5</formula1>
      <formula2>0</formula2>
    </dataValidation>
    <dataValidation allowBlank="false" errorStyle="stop" operator="between" showDropDown="false" showErrorMessage="false" showInputMessage="false" sqref="P56" type="list">
      <formula1>ValidationLists!$G$2:$G$5</formula1>
      <formula2>0</formula2>
    </dataValidation>
    <dataValidation allowBlank="false" errorStyle="stop" operator="between" showDropDown="false" showErrorMessage="false" showInputMessage="false" sqref="P57" type="list">
      <formula1>ValidationLists!$G$2:$G$5</formula1>
      <formula2>0</formula2>
    </dataValidation>
    <dataValidation allowBlank="false" errorStyle="stop" operator="between" showDropDown="false" showErrorMessage="false" showInputMessage="false" sqref="P58" type="list">
      <formula1>ValidationLists!$G$2:$G$5</formula1>
      <formula2>0</formula2>
    </dataValidation>
    <dataValidation allowBlank="false" errorStyle="stop" operator="between" showDropDown="false" showErrorMessage="false" showInputMessage="false" sqref="P59" type="list">
      <formula1>ValidationLists!$G$2:$G$5</formula1>
      <formula2>0</formula2>
    </dataValidation>
    <dataValidation allowBlank="false" errorStyle="stop" operator="between" showDropDown="false" showErrorMessage="false" showInputMessage="false" sqref="P60" type="list">
      <formula1>ValidationLists!$G$2:$G$5</formula1>
      <formula2>0</formula2>
    </dataValidation>
    <dataValidation allowBlank="false" errorStyle="stop" operator="between" showDropDown="false" showErrorMessage="false" showInputMessage="false" sqref="P61" type="list">
      <formula1>ValidationLists!$G$2:$G$5</formula1>
      <formula2>0</formula2>
    </dataValidation>
    <dataValidation allowBlank="false" errorStyle="stop" operator="between" showDropDown="false" showErrorMessage="false" showInputMessage="false" sqref="P62" type="list">
      <formula1>ValidationLists!$G$2:$G$5</formula1>
      <formula2>0</formula2>
    </dataValidation>
    <dataValidation allowBlank="false" errorStyle="stop" operator="between" showDropDown="false" showErrorMessage="false" showInputMessage="false" sqref="P63" type="list">
      <formula1>ValidationLists!$G$2:$G$5</formula1>
      <formula2>0</formula2>
    </dataValidation>
    <dataValidation allowBlank="false" errorStyle="stop" operator="between" showDropDown="false" showErrorMessage="false" showInputMessage="false" sqref="P64" type="list">
      <formula1>ValidationLists!$G$2:$G$5</formula1>
      <formula2>0</formula2>
    </dataValidation>
    <dataValidation allowBlank="false" errorStyle="stop" operator="between" showDropDown="false" showErrorMessage="false" showInputMessage="false" sqref="P65" type="list">
      <formula1>ValidationLists!$G$2:$G$5</formula1>
      <formula2>0</formula2>
    </dataValidation>
    <dataValidation allowBlank="false" errorStyle="stop" operator="between" showDropDown="false" showErrorMessage="false" showInputMessage="false" sqref="P66" type="list">
      <formula1>ValidationLists!$G$2:$G$5</formula1>
      <formula2>0</formula2>
    </dataValidation>
    <dataValidation allowBlank="false" errorStyle="stop" operator="between" showDropDown="false" showErrorMessage="false" showInputMessage="false" sqref="P67" type="list">
      <formula1>ValidationLists!$G$2:$G$5</formula1>
      <formula2>0</formula2>
    </dataValidation>
    <dataValidation allowBlank="false" errorStyle="stop" operator="between" showDropDown="false" showErrorMessage="false" showInputMessage="false" sqref="P68" type="list">
      <formula1>ValidationLists!$G$2:$G$5</formula1>
      <formula2>0</formula2>
    </dataValidation>
    <dataValidation allowBlank="false" errorStyle="stop" operator="between" showDropDown="false" showErrorMessage="false" showInputMessage="false" sqref="P69" type="list">
      <formula1>ValidationLists!$G$2:$G$5</formula1>
      <formula2>0</formula2>
    </dataValidation>
    <dataValidation allowBlank="false" errorStyle="stop" operator="between" showDropDown="false" showErrorMessage="false" showInputMessage="false" sqref="P70" type="list">
      <formula1>ValidationLists!$G$2:$G$5</formula1>
      <formula2>0</formula2>
    </dataValidation>
    <dataValidation allowBlank="false" errorStyle="stop" operator="between" showDropDown="false" showErrorMessage="false" showInputMessage="false" sqref="P71" type="list">
      <formula1>ValidationLists!$G$2:$G$5</formula1>
      <formula2>0</formula2>
    </dataValidation>
    <dataValidation allowBlank="false" errorStyle="stop" operator="between" showDropDown="false" showErrorMessage="false" showInputMessage="false" sqref="P72" type="list">
      <formula1>ValidationLists!$G$2:$G$5</formula1>
      <formula2>0</formula2>
    </dataValidation>
    <dataValidation allowBlank="false" errorStyle="stop" operator="between" showDropDown="false" showErrorMessage="false" showInputMessage="false" sqref="P73" type="list">
      <formula1>ValidationLists!$G$2:$G$5</formula1>
      <formula2>0</formula2>
    </dataValidation>
    <dataValidation allowBlank="false" errorStyle="stop" operator="between" showDropDown="false" showErrorMessage="false" showInputMessage="false" sqref="P74" type="list">
      <formula1>ValidationLists!$G$2:$G$5</formula1>
      <formula2>0</formula2>
    </dataValidation>
    <dataValidation allowBlank="false" errorStyle="stop" operator="between" showDropDown="false" showErrorMessage="false" showInputMessage="false" sqref="P75" type="list">
      <formula1>ValidationLists!$G$2:$G$5</formula1>
      <formula2>0</formula2>
    </dataValidation>
    <dataValidation allowBlank="false" errorStyle="stop" operator="between" showDropDown="false" showErrorMessage="false" showInputMessage="false" sqref="P76" type="list">
      <formula1>ValidationLists!$R$2:$R$4</formula1>
      <formula2>0</formula2>
    </dataValidation>
    <dataValidation allowBlank="false" errorStyle="stop" operator="between" showDropDown="false" showErrorMessage="false" showInputMessage="false" sqref="P77" type="list">
      <formula1>ValidationLists!$R$2:$R$4</formula1>
      <formula2>0</formula2>
    </dataValidation>
    <dataValidation allowBlank="false" errorStyle="stop" operator="between" showDropDown="false" showErrorMessage="false" showInputMessage="false" sqref="P78" type="list">
      <formula1>ValidationLists!$R$2:$R$4</formula1>
      <formula2>0</formula2>
    </dataValidation>
    <dataValidation allowBlank="false" errorStyle="stop" operator="between" showDropDown="false" showErrorMessage="false" showInputMessage="false" sqref="P79" type="list">
      <formula1>ValidationLists!$F$2:$F$3</formula1>
      <formula2>0</formula2>
    </dataValidation>
    <dataValidation allowBlank="false" errorStyle="stop" operator="between" showDropDown="false" showErrorMessage="false" showInputMessage="false" sqref="P80" type="list">
      <formula1>ValidationLists!$F$2:$F$3</formula1>
      <formula2>0</formula2>
    </dataValidation>
    <dataValidation allowBlank="false" errorStyle="stop" operator="between" showDropDown="false" showErrorMessage="false" showInputMessage="false" sqref="P81" type="list">
      <formula1>ValidationLists!$F$2:$F$3</formula1>
      <formula2>0</formula2>
    </dataValidation>
    <dataValidation allowBlank="false" errorStyle="stop" operator="between" showDropDown="false" showErrorMessage="false" showInputMessage="false" sqref="P82" type="list">
      <formula1>ValidationLists!$D$2:$D$5</formula1>
      <formula2>0</formula2>
    </dataValidation>
    <dataValidation allowBlank="false" errorStyle="stop" operator="between" showDropDown="false" showErrorMessage="false" showInputMessage="false" sqref="P83" type="list">
      <formula1>ValidationLists!$D$2:$D$5</formula1>
      <formula2>0</formula2>
    </dataValidation>
    <dataValidation allowBlank="false" errorStyle="stop" operator="between" showDropDown="false" showErrorMessage="false" showInputMessage="false" sqref="P84" type="list">
      <formula1>ValidationLists!$D$2:$D$5</formula1>
      <formula2>0</formula2>
    </dataValidation>
    <dataValidation allowBlank="false" errorStyle="stop" operator="between" showDropDown="false" showErrorMessage="false" showInputMessage="false" sqref="P85" type="list">
      <formula1>ValidationLists!$P$2:$P$7</formula1>
      <formula2>0</formula2>
    </dataValidation>
    <dataValidation allowBlank="false" errorStyle="stop" operator="between" showDropDown="false" showErrorMessage="false" showInputMessage="false" sqref="P86" type="list">
      <formula1>ValidationLists!$P$2:$P$7</formula1>
      <formula2>0</formula2>
    </dataValidation>
    <dataValidation allowBlank="false" errorStyle="stop" operator="between" showDropDown="false" showErrorMessage="false" showInputMessage="false" sqref="P87" type="list">
      <formula1>ValidationLists!$P$2:$P$7</formula1>
      <formula2>0</formula2>
    </dataValidation>
    <dataValidation allowBlank="false" errorStyle="stop" operator="between" showDropDown="false" showErrorMessage="false" showInputMessage="false" sqref="P88" type="list">
      <formula1>ValidationLists!$P$2:$P$7</formula1>
      <formula2>0</formula2>
    </dataValidation>
    <dataValidation allowBlank="false" errorStyle="stop" operator="between" showDropDown="false" showErrorMessage="false" showInputMessage="false" sqref="P89" type="list">
      <formula1>ValidationLists!$P$2:$P$7</formula1>
      <formula2>0</formula2>
    </dataValidation>
    <dataValidation allowBlank="false" errorStyle="stop" operator="between" showDropDown="false" showErrorMessage="false" showInputMessage="false" sqref="P90" type="list">
      <formula1>ValidationLists!$P$2:$P$7</formula1>
      <formula2>0</formula2>
    </dataValidation>
    <dataValidation allowBlank="false" errorStyle="stop" operator="between" showDropDown="false" showErrorMessage="false" showInputMessage="false" sqref="P91" type="list">
      <formula1>ValidationLists!$P$2:$P$7</formula1>
      <formula2>0</formula2>
    </dataValidation>
    <dataValidation allowBlank="false" errorStyle="stop" operator="between" showDropDown="false" showErrorMessage="false" showInputMessage="false" sqref="P92" type="list">
      <formula1>ValidationLists!$P$2:$P$7</formula1>
      <formula2>0</formula2>
    </dataValidation>
    <dataValidation allowBlank="false" errorStyle="stop" operator="between" showDropDown="false" showErrorMessage="false" showInputMessage="false" sqref="P93" type="list">
      <formula1>ValidationLists!$P$2:$P$7</formula1>
      <formula2>0</formula2>
    </dataValidation>
    <dataValidation allowBlank="false" errorStyle="stop" operator="between" showDropDown="false" showErrorMessage="false" showInputMessage="false" sqref="P94" type="list">
      <formula1>ValidationLists!$H$2:$H$9</formula1>
      <formula2>0</formula2>
    </dataValidation>
    <dataValidation allowBlank="false" errorStyle="stop" operator="between" showDropDown="false" showErrorMessage="false" showInputMessage="false" sqref="P95" type="list">
      <formula1>ValidationLists!$H$2:$H$9</formula1>
      <formula2>0</formula2>
    </dataValidation>
    <dataValidation allowBlank="false" errorStyle="stop" operator="between" showDropDown="false" showErrorMessage="false" showInputMessage="false" sqref="P96" type="list">
      <formula1>ValidationLists!$H$2:$H$9</formula1>
      <formula2>0</formula2>
    </dataValidation>
    <dataValidation allowBlank="false" errorStyle="stop" operator="between" showDropDown="false" showErrorMessage="false" showInputMessage="false" sqref="P97" type="list">
      <formula1>ValidationLists!$H$2:$H$9</formula1>
      <formula2>0</formula2>
    </dataValidation>
    <dataValidation allowBlank="false" errorStyle="stop" operator="between" showDropDown="false" showErrorMessage="false" showInputMessage="false" sqref="P98" type="list">
      <formula1>ValidationLists!$H$2:$H$9</formula1>
      <formula2>0</formula2>
    </dataValidation>
    <dataValidation allowBlank="false" errorStyle="stop" operator="between" showDropDown="false" showErrorMessage="false" showInputMessage="false" sqref="P99" type="list">
      <formula1>ValidationLists!$H$2:$H$9</formula1>
      <formula2>0</formula2>
    </dataValidation>
    <dataValidation allowBlank="false" errorStyle="stop" operator="between" showDropDown="false" showErrorMessage="false" showInputMessage="false" sqref="P100" type="list">
      <formula1>ValidationLists!$H$2:$H$9</formula1>
      <formula2>0</formula2>
    </dataValidation>
    <dataValidation allowBlank="false" errorStyle="stop" operator="between" showDropDown="false" showErrorMessage="false" showInputMessage="false" sqref="P101" type="list">
      <formula1>ValidationLists!$H$2:$H$9</formula1>
      <formula2>0</formula2>
    </dataValidation>
    <dataValidation allowBlank="false" errorStyle="stop" operator="between" showDropDown="false" showErrorMessage="false" showInputMessage="false" sqref="P102" type="list">
      <formula1>ValidationLists!$H$2:$H$9</formula1>
      <formula2>0</formula2>
    </dataValidation>
    <dataValidation allowBlank="false" errorStyle="stop" operator="between" showDropDown="false" showErrorMessage="false" showInputMessage="false" sqref="P103" type="list">
      <formula1>ValidationLists!$H$2:$H$9</formula1>
      <formula2>0</formula2>
    </dataValidation>
    <dataValidation allowBlank="false" errorStyle="stop" operator="between" showDropDown="false" showErrorMessage="false" showInputMessage="false" sqref="P104" type="list">
      <formula1>ValidationLists!$H$2:$H$9</formula1>
      <formula2>0</formula2>
    </dataValidation>
    <dataValidation allowBlank="false" errorStyle="stop" operator="between" showDropDown="false" showErrorMessage="false" showInputMessage="false" sqref="P105" type="list">
      <formula1>ValidationLists!$K$2:$K$7</formula1>
      <formula2>0</formula2>
    </dataValidation>
    <dataValidation allowBlank="false" errorStyle="stop" operator="between" showDropDown="false" showErrorMessage="false" showInputMessage="false" sqref="P106" type="list">
      <formula1>ValidationLists!$K$2:$K$7</formula1>
      <formula2>0</formula2>
    </dataValidation>
    <dataValidation allowBlank="false" errorStyle="stop" operator="between" showDropDown="false" showErrorMessage="false" showInputMessage="false" sqref="P107" type="list">
      <formula1>ValidationLists!$K$2:$K$7</formula1>
      <formula2>0</formula2>
    </dataValidation>
    <dataValidation allowBlank="false" errorStyle="stop" operator="between" showDropDown="false" showErrorMessage="false" showInputMessage="false" sqref="P108" type="list">
      <formula1>ValidationLists!$K$2:$K$7</formula1>
      <formula2>0</formula2>
    </dataValidation>
    <dataValidation allowBlank="false" errorStyle="stop" operator="between" showDropDown="false" showErrorMessage="false" showInputMessage="false" sqref="P109" type="list">
      <formula1>ValidationLists!$K$2:$K$7</formula1>
      <formula2>0</formula2>
    </dataValidation>
    <dataValidation allowBlank="false" errorStyle="stop" operator="between" showDropDown="false" showErrorMessage="false" showInputMessage="false" sqref="P110" type="list">
      <formula1>ValidationLists!$K$2:$K$7</formula1>
      <formula2>0</formula2>
    </dataValidation>
    <dataValidation allowBlank="false" errorStyle="stop" operator="between" showDropDown="false" showErrorMessage="false" showInputMessage="false" sqref="P111" type="list">
      <formula1>ValidationLists!$K$2:$K$7</formula1>
      <formula2>0</formula2>
    </dataValidation>
    <dataValidation allowBlank="false" errorStyle="stop" operator="between" showDropDown="false" showErrorMessage="false" showInputMessage="false" sqref="P112" type="list">
      <formula1>ValidationLists!$K$2:$K$7</formula1>
      <formula2>0</formula2>
    </dataValidation>
    <dataValidation allowBlank="false" errorStyle="stop" operator="between" showDropDown="false" showErrorMessage="false" showInputMessage="false" sqref="P113" type="list">
      <formula1>ValidationLists!$K$2:$K$7</formula1>
      <formula2>0</formula2>
    </dataValidation>
    <dataValidation allowBlank="false" errorStyle="stop" operator="between" showDropDown="false" showErrorMessage="false" showInputMessage="false" sqref="P114" type="list">
      <formula1>ValidationLists!$K$2:$K$7</formula1>
      <formula2>0</formula2>
    </dataValidation>
    <dataValidation allowBlank="false" errorStyle="stop" operator="between" showDropDown="false" showErrorMessage="false" showInputMessage="false" sqref="P115" type="list">
      <formula1>ValidationLists!$K$2:$K$7</formula1>
      <formula2>0</formula2>
    </dataValidation>
    <dataValidation allowBlank="false" errorStyle="stop" operator="between" showDropDown="false" showErrorMessage="false" showInputMessage="false" sqref="P116" type="list">
      <formula1>ValidationLists!$K$2:$K$7</formula1>
      <formula2>0</formula2>
    </dataValidation>
    <dataValidation allowBlank="false" errorStyle="stop" operator="between" showDropDown="false" showErrorMessage="false" showInputMessage="false" sqref="P117" type="list">
      <formula1>ValidationLists!$I$2:$I$7</formula1>
      <formula2>0</formula2>
    </dataValidation>
    <dataValidation allowBlank="false" errorStyle="stop" operator="between" showDropDown="false" showErrorMessage="false" showInputMessage="false" sqref="P118" type="list">
      <formula1>ValidationLists!$I$2:$I$7</formula1>
      <formula2>0</formula2>
    </dataValidation>
    <dataValidation allowBlank="false" errorStyle="stop" operator="between" showDropDown="false" showErrorMessage="false" showInputMessage="false" sqref="P119" type="list">
      <formula1>ValidationLists!$I$2:$I$7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5"/>
    <col collapsed="false" customWidth="true" hidden="false" outlineLevel="0" max="3" min="3" style="0" width="20"/>
    <col collapsed="false" customWidth="true" hidden="false" outlineLevel="0" max="4" min="4" style="0" width="22"/>
    <col collapsed="false" customWidth="true" hidden="false" outlineLevel="0" max="5" min="5" style="0" width="20"/>
    <col collapsed="false" customWidth="true" hidden="false" outlineLevel="0" max="6" min="6" style="0" width="8"/>
    <col collapsed="false" customWidth="true" hidden="false" outlineLevel="0" max="7" min="7" style="0" width="34"/>
    <col collapsed="false" customWidth="true" hidden="false" outlineLevel="0" max="8" min="8" style="0" width="24"/>
    <col collapsed="false" customWidth="true" hidden="false" outlineLevel="0" max="9" min="9" style="0" width="62"/>
    <col collapsed="false" customWidth="true" hidden="false" outlineLevel="0" max="10" min="10" style="0" width="14"/>
  </cols>
  <sheetData>
    <row r="1" customFormat="false" ht="30" hidden="false" customHeight="true" outlineLevel="0" collapsed="false">
      <c r="A1" s="15" t="s">
        <v>804</v>
      </c>
      <c r="B1" s="15" t="s">
        <v>42</v>
      </c>
      <c r="C1" s="15" t="s">
        <v>805</v>
      </c>
      <c r="D1" s="15" t="s">
        <v>806</v>
      </c>
      <c r="E1" s="15" t="s">
        <v>807</v>
      </c>
      <c r="F1" s="15" t="s">
        <v>808</v>
      </c>
      <c r="G1" s="15" t="s">
        <v>809</v>
      </c>
      <c r="H1" s="15" t="s">
        <v>810</v>
      </c>
      <c r="I1" s="15" t="s">
        <v>811</v>
      </c>
      <c r="J1" s="15" t="s">
        <v>53</v>
      </c>
    </row>
    <row r="2" customFormat="false" ht="30" hidden="false" customHeight="true" outlineLevel="0" collapsed="false">
      <c r="A2" s="4" t="s">
        <v>13</v>
      </c>
      <c r="B2" s="4" t="s">
        <v>62</v>
      </c>
      <c r="C2" s="4" t="s">
        <v>63</v>
      </c>
      <c r="D2" s="4" t="s">
        <v>63</v>
      </c>
      <c r="E2" s="4" t="s">
        <v>812</v>
      </c>
      <c r="F2" s="4" t="s">
        <v>813</v>
      </c>
      <c r="G2" s="4" t="s">
        <v>814</v>
      </c>
      <c r="H2" s="4" t="s">
        <v>815</v>
      </c>
      <c r="I2" s="4" t="s">
        <v>816</v>
      </c>
      <c r="J2" s="4" t="s">
        <v>70</v>
      </c>
    </row>
    <row r="3" customFormat="false" ht="30" hidden="false" customHeight="true" outlineLevel="0" collapsed="false">
      <c r="A3" s="4" t="s">
        <v>13</v>
      </c>
      <c r="B3" s="4" t="s">
        <v>62</v>
      </c>
      <c r="C3" s="4" t="s">
        <v>63</v>
      </c>
      <c r="D3" s="4" t="s">
        <v>63</v>
      </c>
      <c r="E3" s="4" t="s">
        <v>817</v>
      </c>
      <c r="F3" s="4" t="s">
        <v>818</v>
      </c>
      <c r="G3" s="4" t="s">
        <v>819</v>
      </c>
      <c r="H3" s="4" t="s">
        <v>815</v>
      </c>
      <c r="I3" s="4" t="s">
        <v>820</v>
      </c>
      <c r="J3" s="4" t="s">
        <v>70</v>
      </c>
    </row>
    <row r="4" customFormat="false" ht="30" hidden="false" customHeight="true" outlineLevel="0" collapsed="false">
      <c r="A4" s="4" t="s">
        <v>13</v>
      </c>
      <c r="B4" s="4" t="s">
        <v>62</v>
      </c>
      <c r="C4" s="4" t="s">
        <v>63</v>
      </c>
      <c r="D4" s="4" t="s">
        <v>63</v>
      </c>
      <c r="E4" s="4" t="s">
        <v>821</v>
      </c>
      <c r="F4" s="4" t="s">
        <v>822</v>
      </c>
      <c r="G4" s="4" t="s">
        <v>823</v>
      </c>
      <c r="H4" s="4" t="s">
        <v>815</v>
      </c>
      <c r="I4" s="4" t="s">
        <v>824</v>
      </c>
      <c r="J4" s="4" t="s">
        <v>70</v>
      </c>
    </row>
    <row r="5" customFormat="false" ht="30" hidden="false" customHeight="true" outlineLevel="0" collapsed="false">
      <c r="A5" s="4" t="s">
        <v>13</v>
      </c>
      <c r="B5" s="4" t="s">
        <v>62</v>
      </c>
      <c r="C5" s="4" t="s">
        <v>63</v>
      </c>
      <c r="D5" s="4" t="s">
        <v>63</v>
      </c>
      <c r="E5" s="4" t="s">
        <v>825</v>
      </c>
      <c r="F5" s="4" t="s">
        <v>826</v>
      </c>
      <c r="G5" s="4" t="s">
        <v>827</v>
      </c>
      <c r="H5" s="4" t="s">
        <v>815</v>
      </c>
      <c r="I5" s="4" t="s">
        <v>828</v>
      </c>
      <c r="J5" s="4" t="s">
        <v>70</v>
      </c>
    </row>
    <row r="6" customFormat="false" ht="30" hidden="false" customHeight="true" outlineLevel="0" collapsed="false">
      <c r="A6" s="4" t="s">
        <v>13</v>
      </c>
      <c r="B6" s="4" t="s">
        <v>62</v>
      </c>
      <c r="C6" s="4" t="s">
        <v>63</v>
      </c>
      <c r="D6" s="4" t="s">
        <v>63</v>
      </c>
      <c r="E6" s="4" t="s">
        <v>89</v>
      </c>
      <c r="F6" s="4" t="s">
        <v>829</v>
      </c>
      <c r="G6" s="4" t="s">
        <v>830</v>
      </c>
      <c r="H6" s="4" t="s">
        <v>815</v>
      </c>
      <c r="I6" s="4" t="s">
        <v>831</v>
      </c>
      <c r="J6" s="4" t="s">
        <v>70</v>
      </c>
    </row>
    <row r="7" customFormat="false" ht="30" hidden="false" customHeight="true" outlineLevel="0" collapsed="false">
      <c r="A7" s="4" t="s">
        <v>13</v>
      </c>
      <c r="B7" s="4" t="s">
        <v>62</v>
      </c>
      <c r="C7" s="4" t="s">
        <v>63</v>
      </c>
      <c r="D7" s="4" t="s">
        <v>63</v>
      </c>
      <c r="E7" s="4" t="s">
        <v>832</v>
      </c>
      <c r="F7" s="4" t="s">
        <v>833</v>
      </c>
      <c r="G7" s="4" t="s">
        <v>834</v>
      </c>
      <c r="H7" s="4" t="s">
        <v>815</v>
      </c>
      <c r="I7" s="4" t="s">
        <v>835</v>
      </c>
      <c r="J7" s="4" t="s">
        <v>70</v>
      </c>
    </row>
    <row r="8" customFormat="false" ht="30" hidden="false" customHeight="true" outlineLevel="0" collapsed="false">
      <c r="A8" s="4" t="s">
        <v>13</v>
      </c>
      <c r="B8" s="4" t="s">
        <v>62</v>
      </c>
      <c r="C8" s="4" t="s">
        <v>63</v>
      </c>
      <c r="D8" s="4" t="s">
        <v>63</v>
      </c>
      <c r="E8" s="4" t="s">
        <v>836</v>
      </c>
      <c r="F8" s="4" t="s">
        <v>837</v>
      </c>
      <c r="G8" s="4" t="s">
        <v>838</v>
      </c>
      <c r="H8" s="4" t="s">
        <v>815</v>
      </c>
      <c r="I8" s="4" t="s">
        <v>839</v>
      </c>
      <c r="J8" s="4" t="s">
        <v>70</v>
      </c>
    </row>
    <row r="9" customFormat="false" ht="30" hidden="false" customHeight="true" outlineLevel="0" collapsed="false">
      <c r="A9" s="4" t="s">
        <v>13</v>
      </c>
      <c r="B9" s="4" t="s">
        <v>62</v>
      </c>
      <c r="C9" s="4" t="s">
        <v>63</v>
      </c>
      <c r="D9" s="4" t="s">
        <v>63</v>
      </c>
      <c r="E9" s="4" t="s">
        <v>72</v>
      </c>
      <c r="F9" s="4" t="s">
        <v>840</v>
      </c>
      <c r="G9" s="4" t="s">
        <v>841</v>
      </c>
      <c r="H9" s="4" t="s">
        <v>815</v>
      </c>
      <c r="I9" s="4" t="s">
        <v>842</v>
      </c>
      <c r="J9" s="4" t="s">
        <v>70</v>
      </c>
    </row>
    <row r="10" customFormat="false" ht="30" hidden="false" customHeight="true" outlineLevel="0" collapsed="false">
      <c r="A10" s="4" t="s">
        <v>15</v>
      </c>
      <c r="B10" s="4" t="s">
        <v>106</v>
      </c>
      <c r="C10" s="4" t="s">
        <v>107</v>
      </c>
      <c r="D10" s="4" t="s">
        <v>107</v>
      </c>
      <c r="E10" s="4" t="s">
        <v>843</v>
      </c>
      <c r="F10" s="4" t="s">
        <v>813</v>
      </c>
      <c r="G10" s="4" t="s">
        <v>844</v>
      </c>
      <c r="H10" s="4" t="s">
        <v>815</v>
      </c>
      <c r="I10" s="4" t="s">
        <v>845</v>
      </c>
      <c r="J10" s="4" t="s">
        <v>70</v>
      </c>
    </row>
    <row r="11" customFormat="false" ht="30" hidden="false" customHeight="true" outlineLevel="0" collapsed="false">
      <c r="A11" s="4" t="s">
        <v>15</v>
      </c>
      <c r="B11" s="4" t="s">
        <v>106</v>
      </c>
      <c r="C11" s="4" t="s">
        <v>107</v>
      </c>
      <c r="D11" s="4" t="s">
        <v>107</v>
      </c>
      <c r="E11" s="4" t="s">
        <v>846</v>
      </c>
      <c r="F11" s="4" t="s">
        <v>818</v>
      </c>
      <c r="G11" s="4" t="s">
        <v>847</v>
      </c>
      <c r="H11" s="4" t="s">
        <v>815</v>
      </c>
      <c r="I11" s="4" t="s">
        <v>848</v>
      </c>
      <c r="J11" s="4" t="s">
        <v>70</v>
      </c>
    </row>
    <row r="12" customFormat="false" ht="30" hidden="false" customHeight="true" outlineLevel="0" collapsed="false">
      <c r="A12" s="4" t="s">
        <v>15</v>
      </c>
      <c r="B12" s="4" t="s">
        <v>106</v>
      </c>
      <c r="C12" s="4" t="s">
        <v>107</v>
      </c>
      <c r="D12" s="4" t="s">
        <v>107</v>
      </c>
      <c r="E12" s="4" t="s">
        <v>119</v>
      </c>
      <c r="F12" s="4" t="s">
        <v>822</v>
      </c>
      <c r="G12" s="4" t="s">
        <v>849</v>
      </c>
      <c r="H12" s="4" t="s">
        <v>815</v>
      </c>
      <c r="I12" s="4" t="s">
        <v>850</v>
      </c>
      <c r="J12" s="4" t="s">
        <v>70</v>
      </c>
    </row>
    <row r="13" customFormat="false" ht="30" hidden="false" customHeight="true" outlineLevel="0" collapsed="false">
      <c r="A13" s="4" t="s">
        <v>17</v>
      </c>
      <c r="B13" s="4" t="s">
        <v>122</v>
      </c>
      <c r="C13" s="4" t="s">
        <v>123</v>
      </c>
      <c r="D13" s="4" t="s">
        <v>124</v>
      </c>
      <c r="E13" s="4" t="s">
        <v>132</v>
      </c>
      <c r="F13" s="4" t="s">
        <v>813</v>
      </c>
      <c r="G13" s="4" t="s">
        <v>851</v>
      </c>
      <c r="H13" s="4" t="s">
        <v>815</v>
      </c>
      <c r="I13" s="4" t="s">
        <v>852</v>
      </c>
      <c r="J13" s="4" t="s">
        <v>70</v>
      </c>
    </row>
    <row r="14" customFormat="false" ht="30" hidden="false" customHeight="true" outlineLevel="0" collapsed="false">
      <c r="A14" s="4" t="s">
        <v>17</v>
      </c>
      <c r="B14" s="4" t="s">
        <v>122</v>
      </c>
      <c r="C14" s="4" t="s">
        <v>123</v>
      </c>
      <c r="D14" s="4" t="s">
        <v>124</v>
      </c>
      <c r="E14" s="4" t="s">
        <v>171</v>
      </c>
      <c r="F14" s="4" t="s">
        <v>818</v>
      </c>
      <c r="G14" s="4" t="s">
        <v>853</v>
      </c>
      <c r="H14" s="4" t="s">
        <v>815</v>
      </c>
      <c r="I14" s="4" t="s">
        <v>854</v>
      </c>
      <c r="J14" s="4" t="s">
        <v>70</v>
      </c>
    </row>
    <row r="15" customFormat="false" ht="30" hidden="false" customHeight="true" outlineLevel="0" collapsed="false">
      <c r="A15" s="4" t="s">
        <v>17</v>
      </c>
      <c r="B15" s="4" t="s">
        <v>122</v>
      </c>
      <c r="C15" s="4" t="s">
        <v>123</v>
      </c>
      <c r="D15" s="4" t="s">
        <v>124</v>
      </c>
      <c r="E15" s="4" t="s">
        <v>855</v>
      </c>
      <c r="F15" s="4" t="s">
        <v>822</v>
      </c>
      <c r="G15" s="4" t="s">
        <v>856</v>
      </c>
      <c r="H15" s="4" t="s">
        <v>815</v>
      </c>
      <c r="I15" s="4" t="s">
        <v>857</v>
      </c>
      <c r="J15" s="4" t="s">
        <v>70</v>
      </c>
    </row>
    <row r="16" customFormat="false" ht="30" hidden="false" customHeight="true" outlineLevel="0" collapsed="false">
      <c r="A16" s="4" t="s">
        <v>17</v>
      </c>
      <c r="B16" s="4" t="s">
        <v>122</v>
      </c>
      <c r="C16" s="4" t="s">
        <v>123</v>
      </c>
      <c r="D16" s="4" t="s">
        <v>124</v>
      </c>
      <c r="E16" s="4" t="s">
        <v>858</v>
      </c>
      <c r="F16" s="4" t="s">
        <v>826</v>
      </c>
      <c r="G16" s="4" t="s">
        <v>859</v>
      </c>
      <c r="H16" s="4" t="s">
        <v>815</v>
      </c>
      <c r="I16" s="4" t="s">
        <v>860</v>
      </c>
      <c r="J16" s="4" t="s">
        <v>70</v>
      </c>
    </row>
    <row r="17" customFormat="false" ht="30" hidden="false" customHeight="true" outlineLevel="0" collapsed="false">
      <c r="A17" s="4" t="s">
        <v>17</v>
      </c>
      <c r="B17" s="4" t="s">
        <v>122</v>
      </c>
      <c r="C17" s="4" t="s">
        <v>123</v>
      </c>
      <c r="D17" s="4" t="s">
        <v>124</v>
      </c>
      <c r="E17" s="4" t="s">
        <v>861</v>
      </c>
      <c r="F17" s="4" t="s">
        <v>829</v>
      </c>
      <c r="G17" s="4" t="s">
        <v>862</v>
      </c>
      <c r="H17" s="4" t="s">
        <v>815</v>
      </c>
      <c r="I17" s="4" t="s">
        <v>863</v>
      </c>
      <c r="J17" s="4" t="s">
        <v>70</v>
      </c>
    </row>
    <row r="18" customFormat="false" ht="30" hidden="false" customHeight="true" outlineLevel="0" collapsed="false">
      <c r="A18" s="4" t="s">
        <v>17</v>
      </c>
      <c r="B18" s="4" t="s">
        <v>122</v>
      </c>
      <c r="C18" s="4" t="s">
        <v>123</v>
      </c>
      <c r="D18" s="4" t="s">
        <v>124</v>
      </c>
      <c r="E18" s="4" t="s">
        <v>163</v>
      </c>
      <c r="F18" s="4" t="s">
        <v>833</v>
      </c>
      <c r="G18" s="4" t="s">
        <v>864</v>
      </c>
      <c r="H18" s="4" t="s">
        <v>865</v>
      </c>
      <c r="I18" s="4" t="s">
        <v>866</v>
      </c>
      <c r="J18" s="4" t="s">
        <v>70</v>
      </c>
    </row>
    <row r="19" customFormat="false" ht="30" hidden="false" customHeight="true" outlineLevel="0" collapsed="false">
      <c r="A19" s="4" t="s">
        <v>19</v>
      </c>
      <c r="B19" s="4" t="s">
        <v>174</v>
      </c>
      <c r="C19" s="4" t="s">
        <v>175</v>
      </c>
      <c r="D19" s="4" t="s">
        <v>175</v>
      </c>
      <c r="E19" s="4" t="s">
        <v>181</v>
      </c>
      <c r="F19" s="4" t="s">
        <v>813</v>
      </c>
      <c r="G19" s="4" t="s">
        <v>867</v>
      </c>
      <c r="H19" s="4" t="s">
        <v>815</v>
      </c>
      <c r="I19" s="4" t="s">
        <v>868</v>
      </c>
      <c r="J19" s="4" t="s">
        <v>73</v>
      </c>
    </row>
    <row r="20" customFormat="false" ht="30" hidden="false" customHeight="true" outlineLevel="0" collapsed="false">
      <c r="A20" s="4" t="s">
        <v>19</v>
      </c>
      <c r="B20" s="4" t="s">
        <v>174</v>
      </c>
      <c r="C20" s="4" t="s">
        <v>175</v>
      </c>
      <c r="D20" s="4" t="s">
        <v>175</v>
      </c>
      <c r="E20" s="4" t="s">
        <v>869</v>
      </c>
      <c r="F20" s="4" t="s">
        <v>818</v>
      </c>
      <c r="G20" s="4" t="s">
        <v>841</v>
      </c>
      <c r="H20" s="4" t="s">
        <v>815</v>
      </c>
      <c r="I20" s="4" t="s">
        <v>870</v>
      </c>
      <c r="J20" s="4" t="s">
        <v>73</v>
      </c>
    </row>
    <row r="21" customFormat="false" ht="30" hidden="false" customHeight="true" outlineLevel="0" collapsed="false">
      <c r="A21" s="4" t="s">
        <v>19</v>
      </c>
      <c r="B21" s="4" t="s">
        <v>174</v>
      </c>
      <c r="C21" s="4" t="s">
        <v>175</v>
      </c>
      <c r="D21" s="4" t="s">
        <v>175</v>
      </c>
      <c r="E21" s="4" t="s">
        <v>871</v>
      </c>
      <c r="F21" s="4" t="s">
        <v>822</v>
      </c>
      <c r="G21" s="4" t="s">
        <v>872</v>
      </c>
      <c r="H21" s="4" t="s">
        <v>815</v>
      </c>
      <c r="I21" s="4" t="s">
        <v>873</v>
      </c>
      <c r="J21" s="4" t="s">
        <v>73</v>
      </c>
    </row>
    <row r="22" customFormat="false" ht="30" hidden="false" customHeight="true" outlineLevel="0" collapsed="false">
      <c r="A22" s="4" t="s">
        <v>19</v>
      </c>
      <c r="B22" s="4" t="s">
        <v>174</v>
      </c>
      <c r="C22" s="4" t="s">
        <v>175</v>
      </c>
      <c r="D22" s="4" t="s">
        <v>175</v>
      </c>
      <c r="E22" s="4" t="s">
        <v>194</v>
      </c>
      <c r="F22" s="4" t="s">
        <v>826</v>
      </c>
      <c r="G22" s="4" t="s">
        <v>874</v>
      </c>
      <c r="H22" s="4" t="s">
        <v>815</v>
      </c>
      <c r="I22" s="4" t="s">
        <v>875</v>
      </c>
      <c r="J22" s="4" t="s">
        <v>73</v>
      </c>
    </row>
    <row r="23" customFormat="false" ht="30" hidden="false" customHeight="true" outlineLevel="0" collapsed="false">
      <c r="A23" s="4" t="s">
        <v>19</v>
      </c>
      <c r="B23" s="4" t="s">
        <v>174</v>
      </c>
      <c r="C23" s="4" t="s">
        <v>175</v>
      </c>
      <c r="D23" s="4" t="s">
        <v>175</v>
      </c>
      <c r="E23" s="4" t="s">
        <v>876</v>
      </c>
      <c r="F23" s="4" t="s">
        <v>829</v>
      </c>
      <c r="G23" s="4" t="s">
        <v>877</v>
      </c>
      <c r="H23" s="4" t="s">
        <v>815</v>
      </c>
      <c r="I23" s="4" t="s">
        <v>878</v>
      </c>
      <c r="J23" s="4" t="s">
        <v>73</v>
      </c>
    </row>
    <row r="24" customFormat="false" ht="30" hidden="false" customHeight="true" outlineLevel="0" collapsed="false">
      <c r="A24" s="4" t="s">
        <v>21</v>
      </c>
      <c r="B24" s="4" t="s">
        <v>197</v>
      </c>
      <c r="C24" s="4" t="s">
        <v>198</v>
      </c>
      <c r="D24" s="4" t="s">
        <v>199</v>
      </c>
      <c r="E24" s="4" t="s">
        <v>206</v>
      </c>
      <c r="F24" s="4" t="s">
        <v>813</v>
      </c>
      <c r="G24" s="4" t="s">
        <v>879</v>
      </c>
      <c r="H24" s="4" t="s">
        <v>815</v>
      </c>
      <c r="I24" s="4" t="s">
        <v>880</v>
      </c>
      <c r="J24" s="4" t="s">
        <v>73</v>
      </c>
    </row>
    <row r="25" customFormat="false" ht="30" hidden="false" customHeight="true" outlineLevel="0" collapsed="false">
      <c r="A25" s="4" t="s">
        <v>21</v>
      </c>
      <c r="B25" s="4" t="s">
        <v>197</v>
      </c>
      <c r="C25" s="4" t="s">
        <v>198</v>
      </c>
      <c r="D25" s="4" t="s">
        <v>199</v>
      </c>
      <c r="E25" s="4" t="s">
        <v>881</v>
      </c>
      <c r="F25" s="4" t="s">
        <v>818</v>
      </c>
      <c r="G25" s="4" t="s">
        <v>882</v>
      </c>
      <c r="H25" s="4" t="s">
        <v>815</v>
      </c>
      <c r="I25" s="4" t="s">
        <v>883</v>
      </c>
      <c r="J25" s="4" t="s">
        <v>73</v>
      </c>
    </row>
    <row r="26" customFormat="false" ht="30" hidden="false" customHeight="true" outlineLevel="0" collapsed="false">
      <c r="A26" s="4" t="s">
        <v>21</v>
      </c>
      <c r="B26" s="4" t="s">
        <v>197</v>
      </c>
      <c r="C26" s="4" t="s">
        <v>198</v>
      </c>
      <c r="D26" s="4" t="s">
        <v>199</v>
      </c>
      <c r="E26" s="4" t="s">
        <v>884</v>
      </c>
      <c r="F26" s="4" t="s">
        <v>822</v>
      </c>
      <c r="G26" s="4" t="s">
        <v>885</v>
      </c>
      <c r="H26" s="4" t="s">
        <v>815</v>
      </c>
      <c r="I26" s="4" t="s">
        <v>886</v>
      </c>
      <c r="J26" s="4" t="s">
        <v>73</v>
      </c>
    </row>
    <row r="27" customFormat="false" ht="30" hidden="false" customHeight="true" outlineLevel="0" collapsed="false">
      <c r="A27" s="4" t="s">
        <v>23</v>
      </c>
      <c r="B27" s="4" t="s">
        <v>215</v>
      </c>
      <c r="C27" s="4" t="s">
        <v>216</v>
      </c>
      <c r="D27" s="4" t="s">
        <v>217</v>
      </c>
      <c r="E27" s="4" t="s">
        <v>242</v>
      </c>
      <c r="F27" s="4" t="s">
        <v>813</v>
      </c>
      <c r="G27" s="4" t="s">
        <v>887</v>
      </c>
      <c r="H27" s="4" t="s">
        <v>815</v>
      </c>
      <c r="I27" s="4" t="s">
        <v>888</v>
      </c>
      <c r="J27" s="4" t="s">
        <v>70</v>
      </c>
    </row>
    <row r="28" customFormat="false" ht="30" hidden="false" customHeight="true" outlineLevel="0" collapsed="false">
      <c r="A28" s="4" t="s">
        <v>23</v>
      </c>
      <c r="B28" s="4" t="s">
        <v>215</v>
      </c>
      <c r="C28" s="4" t="s">
        <v>216</v>
      </c>
      <c r="D28" s="4" t="s">
        <v>217</v>
      </c>
      <c r="E28" s="4" t="s">
        <v>889</v>
      </c>
      <c r="F28" s="4" t="s">
        <v>818</v>
      </c>
      <c r="G28" s="4" t="s">
        <v>890</v>
      </c>
      <c r="H28" s="4" t="s">
        <v>815</v>
      </c>
      <c r="I28" s="4" t="s">
        <v>891</v>
      </c>
      <c r="J28" s="4" t="s">
        <v>70</v>
      </c>
    </row>
    <row r="29" customFormat="false" ht="30" hidden="false" customHeight="true" outlineLevel="0" collapsed="false">
      <c r="A29" s="4" t="s">
        <v>23</v>
      </c>
      <c r="B29" s="4" t="s">
        <v>215</v>
      </c>
      <c r="C29" s="4" t="s">
        <v>216</v>
      </c>
      <c r="D29" s="4" t="s">
        <v>217</v>
      </c>
      <c r="E29" s="4" t="s">
        <v>892</v>
      </c>
      <c r="F29" s="4" t="s">
        <v>822</v>
      </c>
      <c r="G29" s="4" t="s">
        <v>893</v>
      </c>
      <c r="H29" s="4" t="s">
        <v>815</v>
      </c>
      <c r="I29" s="4" t="s">
        <v>894</v>
      </c>
      <c r="J29" s="4" t="s">
        <v>70</v>
      </c>
    </row>
    <row r="30" customFormat="false" ht="30" hidden="false" customHeight="true" outlineLevel="0" collapsed="false">
      <c r="A30" s="4" t="s">
        <v>23</v>
      </c>
      <c r="B30" s="4" t="s">
        <v>215</v>
      </c>
      <c r="C30" s="4" t="s">
        <v>216</v>
      </c>
      <c r="D30" s="4" t="s">
        <v>217</v>
      </c>
      <c r="E30" s="4" t="s">
        <v>234</v>
      </c>
      <c r="F30" s="4" t="s">
        <v>826</v>
      </c>
      <c r="G30" s="4" t="s">
        <v>895</v>
      </c>
      <c r="H30" s="4" t="s">
        <v>865</v>
      </c>
      <c r="I30" s="4" t="s">
        <v>896</v>
      </c>
      <c r="J30" s="4" t="s">
        <v>70</v>
      </c>
    </row>
    <row r="31" customFormat="false" ht="30" hidden="false" customHeight="true" outlineLevel="0" collapsed="false">
      <c r="A31" s="4" t="s">
        <v>25</v>
      </c>
      <c r="B31" s="4" t="s">
        <v>261</v>
      </c>
      <c r="C31" s="4" t="s">
        <v>262</v>
      </c>
      <c r="D31" s="4" t="s">
        <v>262</v>
      </c>
      <c r="E31" s="4" t="s">
        <v>277</v>
      </c>
      <c r="F31" s="4" t="s">
        <v>813</v>
      </c>
      <c r="G31" s="4" t="s">
        <v>897</v>
      </c>
      <c r="H31" s="4" t="s">
        <v>815</v>
      </c>
      <c r="I31" s="4" t="s">
        <v>898</v>
      </c>
      <c r="J31" s="4" t="s">
        <v>70</v>
      </c>
    </row>
    <row r="32" customFormat="false" ht="30" hidden="false" customHeight="true" outlineLevel="0" collapsed="false">
      <c r="A32" s="4" t="s">
        <v>25</v>
      </c>
      <c r="B32" s="4" t="s">
        <v>261</v>
      </c>
      <c r="C32" s="4" t="s">
        <v>262</v>
      </c>
      <c r="D32" s="4" t="s">
        <v>262</v>
      </c>
      <c r="E32" s="4" t="s">
        <v>899</v>
      </c>
      <c r="F32" s="4" t="s">
        <v>818</v>
      </c>
      <c r="G32" s="4" t="s">
        <v>900</v>
      </c>
      <c r="H32" s="4" t="s">
        <v>815</v>
      </c>
      <c r="I32" s="4" t="s">
        <v>901</v>
      </c>
      <c r="J32" s="4" t="s">
        <v>70</v>
      </c>
    </row>
    <row r="33" customFormat="false" ht="30" hidden="false" customHeight="true" outlineLevel="0" collapsed="false">
      <c r="A33" s="4" t="s">
        <v>25</v>
      </c>
      <c r="B33" s="4" t="s">
        <v>261</v>
      </c>
      <c r="C33" s="4" t="s">
        <v>262</v>
      </c>
      <c r="D33" s="4" t="s">
        <v>262</v>
      </c>
      <c r="E33" s="4" t="s">
        <v>902</v>
      </c>
      <c r="F33" s="4" t="s">
        <v>822</v>
      </c>
      <c r="G33" s="4" t="s">
        <v>903</v>
      </c>
      <c r="H33" s="4" t="s">
        <v>815</v>
      </c>
      <c r="I33" s="4" t="s">
        <v>904</v>
      </c>
      <c r="J33" s="4" t="s">
        <v>70</v>
      </c>
    </row>
    <row r="34" customFormat="false" ht="30" hidden="false" customHeight="true" outlineLevel="0" collapsed="false">
      <c r="A34" s="4" t="s">
        <v>25</v>
      </c>
      <c r="B34" s="4" t="s">
        <v>261</v>
      </c>
      <c r="C34" s="4" t="s">
        <v>262</v>
      </c>
      <c r="D34" s="4" t="s">
        <v>262</v>
      </c>
      <c r="E34" s="4" t="s">
        <v>905</v>
      </c>
      <c r="F34" s="4" t="s">
        <v>826</v>
      </c>
      <c r="G34" s="4" t="s">
        <v>906</v>
      </c>
      <c r="H34" s="4" t="s">
        <v>815</v>
      </c>
      <c r="I34" s="4" t="s">
        <v>907</v>
      </c>
      <c r="J34" s="4" t="s">
        <v>70</v>
      </c>
    </row>
    <row r="35" customFormat="false" ht="30" hidden="false" customHeight="true" outlineLevel="0" collapsed="false">
      <c r="A35" s="4" t="s">
        <v>27</v>
      </c>
      <c r="B35" s="4" t="s">
        <v>280</v>
      </c>
      <c r="C35" s="4" t="s">
        <v>281</v>
      </c>
      <c r="D35" s="4" t="s">
        <v>281</v>
      </c>
      <c r="E35" s="4" t="s">
        <v>324</v>
      </c>
      <c r="F35" s="4" t="s">
        <v>813</v>
      </c>
      <c r="G35" s="4" t="s">
        <v>347</v>
      </c>
      <c r="H35" s="4" t="s">
        <v>908</v>
      </c>
      <c r="I35" s="4" t="s">
        <v>909</v>
      </c>
      <c r="J35" s="4" t="s">
        <v>70</v>
      </c>
    </row>
    <row r="36" customFormat="false" ht="30" hidden="false" customHeight="true" outlineLevel="0" collapsed="false">
      <c r="A36" s="4" t="s">
        <v>27</v>
      </c>
      <c r="B36" s="4" t="s">
        <v>280</v>
      </c>
      <c r="C36" s="4" t="s">
        <v>281</v>
      </c>
      <c r="D36" s="4" t="s">
        <v>281</v>
      </c>
      <c r="E36" s="4" t="s">
        <v>316</v>
      </c>
      <c r="F36" s="4" t="s">
        <v>818</v>
      </c>
      <c r="G36" s="4" t="s">
        <v>910</v>
      </c>
      <c r="H36" s="4" t="s">
        <v>911</v>
      </c>
      <c r="I36" s="4" t="s">
        <v>912</v>
      </c>
      <c r="J36" s="4" t="s">
        <v>70</v>
      </c>
    </row>
    <row r="37" customFormat="false" ht="30" hidden="false" customHeight="true" outlineLevel="0" collapsed="false">
      <c r="A37" s="4" t="s">
        <v>27</v>
      </c>
      <c r="B37" s="4" t="s">
        <v>280</v>
      </c>
      <c r="C37" s="4" t="s">
        <v>281</v>
      </c>
      <c r="D37" s="4" t="s">
        <v>281</v>
      </c>
      <c r="E37" s="4" t="s">
        <v>297</v>
      </c>
      <c r="F37" s="4" t="s">
        <v>822</v>
      </c>
      <c r="G37" s="4" t="s">
        <v>913</v>
      </c>
      <c r="H37" s="4" t="s">
        <v>911</v>
      </c>
      <c r="I37" s="4" t="s">
        <v>914</v>
      </c>
      <c r="J37" s="4" t="s">
        <v>70</v>
      </c>
    </row>
    <row r="38" customFormat="false" ht="30" hidden="false" customHeight="true" outlineLevel="0" collapsed="false">
      <c r="A38" s="4" t="s">
        <v>27</v>
      </c>
      <c r="B38" s="4" t="s">
        <v>280</v>
      </c>
      <c r="C38" s="4" t="s">
        <v>281</v>
      </c>
      <c r="D38" s="4" t="s">
        <v>281</v>
      </c>
      <c r="E38" s="4" t="s">
        <v>304</v>
      </c>
      <c r="F38" s="4" t="s">
        <v>826</v>
      </c>
      <c r="G38" s="4" t="s">
        <v>915</v>
      </c>
      <c r="H38" s="4" t="s">
        <v>911</v>
      </c>
      <c r="I38" s="4" t="s">
        <v>916</v>
      </c>
      <c r="J38" s="4" t="s">
        <v>70</v>
      </c>
    </row>
    <row r="39" customFormat="false" ht="30" hidden="false" customHeight="true" outlineLevel="0" collapsed="false">
      <c r="A39" s="4" t="s">
        <v>27</v>
      </c>
      <c r="B39" s="4" t="s">
        <v>280</v>
      </c>
      <c r="C39" s="4" t="s">
        <v>281</v>
      </c>
      <c r="D39" s="4" t="s">
        <v>281</v>
      </c>
      <c r="E39" s="4" t="s">
        <v>343</v>
      </c>
      <c r="F39" s="4" t="s">
        <v>829</v>
      </c>
      <c r="G39" s="4" t="s">
        <v>917</v>
      </c>
      <c r="H39" s="4" t="s">
        <v>911</v>
      </c>
      <c r="I39" s="4" t="s">
        <v>918</v>
      </c>
      <c r="J39" s="4" t="s">
        <v>70</v>
      </c>
    </row>
    <row r="40" customFormat="false" ht="30" hidden="false" customHeight="true" outlineLevel="0" collapsed="false">
      <c r="A40" s="4" t="s">
        <v>27</v>
      </c>
      <c r="B40" s="4" t="s">
        <v>280</v>
      </c>
      <c r="C40" s="4" t="s">
        <v>281</v>
      </c>
      <c r="D40" s="4" t="s">
        <v>281</v>
      </c>
      <c r="E40" s="4" t="s">
        <v>919</v>
      </c>
      <c r="F40" s="4" t="s">
        <v>833</v>
      </c>
      <c r="G40" s="4" t="s">
        <v>920</v>
      </c>
      <c r="H40" s="4" t="s">
        <v>911</v>
      </c>
      <c r="I40" s="4" t="s">
        <v>921</v>
      </c>
      <c r="J40" s="4" t="s">
        <v>70</v>
      </c>
    </row>
    <row r="41" customFormat="false" ht="30" hidden="false" customHeight="true" outlineLevel="0" collapsed="false">
      <c r="A41" s="4" t="s">
        <v>29</v>
      </c>
      <c r="B41" s="4" t="s">
        <v>353</v>
      </c>
      <c r="C41" s="4" t="s">
        <v>354</v>
      </c>
      <c r="D41" s="4" t="s">
        <v>354</v>
      </c>
      <c r="E41" s="4" t="s">
        <v>922</v>
      </c>
      <c r="F41" s="4" t="s">
        <v>813</v>
      </c>
      <c r="G41" s="4" t="s">
        <v>923</v>
      </c>
      <c r="H41" s="4" t="s">
        <v>815</v>
      </c>
      <c r="I41" s="4" t="s">
        <v>924</v>
      </c>
      <c r="J41" s="4" t="s">
        <v>70</v>
      </c>
    </row>
    <row r="42" customFormat="false" ht="30" hidden="false" customHeight="true" outlineLevel="0" collapsed="false">
      <c r="A42" s="4" t="s">
        <v>29</v>
      </c>
      <c r="B42" s="4" t="s">
        <v>353</v>
      </c>
      <c r="C42" s="4" t="s">
        <v>354</v>
      </c>
      <c r="D42" s="4" t="s">
        <v>354</v>
      </c>
      <c r="E42" s="4" t="s">
        <v>383</v>
      </c>
      <c r="F42" s="4" t="s">
        <v>818</v>
      </c>
      <c r="G42" s="4" t="s">
        <v>925</v>
      </c>
      <c r="H42" s="4" t="s">
        <v>815</v>
      </c>
      <c r="I42" s="4" t="s">
        <v>926</v>
      </c>
      <c r="J42" s="4" t="s">
        <v>70</v>
      </c>
    </row>
    <row r="43" customFormat="false" ht="30" hidden="false" customHeight="true" outlineLevel="0" collapsed="false">
      <c r="A43" s="4" t="s">
        <v>29</v>
      </c>
      <c r="B43" s="4" t="s">
        <v>353</v>
      </c>
      <c r="C43" s="4" t="s">
        <v>354</v>
      </c>
      <c r="D43" s="4" t="s">
        <v>354</v>
      </c>
      <c r="E43" s="4" t="s">
        <v>927</v>
      </c>
      <c r="F43" s="4" t="s">
        <v>822</v>
      </c>
      <c r="G43" s="4" t="s">
        <v>928</v>
      </c>
      <c r="H43" s="4" t="s">
        <v>815</v>
      </c>
      <c r="I43" s="4" t="s">
        <v>929</v>
      </c>
      <c r="J43" s="4" t="s">
        <v>70</v>
      </c>
    </row>
    <row r="44" customFormat="false" ht="30" hidden="false" customHeight="true" outlineLevel="0" collapsed="false">
      <c r="A44" s="4" t="s">
        <v>29</v>
      </c>
      <c r="B44" s="4" t="s">
        <v>353</v>
      </c>
      <c r="C44" s="4" t="s">
        <v>354</v>
      </c>
      <c r="D44" s="4" t="s">
        <v>354</v>
      </c>
      <c r="E44" s="4" t="s">
        <v>361</v>
      </c>
      <c r="F44" s="4" t="s">
        <v>826</v>
      </c>
      <c r="G44" s="4" t="s">
        <v>930</v>
      </c>
      <c r="H44" s="4" t="s">
        <v>911</v>
      </c>
      <c r="I44" s="4" t="s">
        <v>931</v>
      </c>
      <c r="J44" s="4" t="s">
        <v>70</v>
      </c>
    </row>
    <row r="45" customFormat="false" ht="30" hidden="false" customHeight="true" outlineLevel="0" collapsed="false">
      <c r="A45" s="4" t="s">
        <v>397</v>
      </c>
      <c r="B45" s="4" t="s">
        <v>398</v>
      </c>
      <c r="C45" s="4" t="s">
        <v>399</v>
      </c>
      <c r="D45" s="4" t="s">
        <v>400</v>
      </c>
      <c r="E45" s="4" t="s">
        <v>932</v>
      </c>
      <c r="F45" s="4" t="s">
        <v>813</v>
      </c>
      <c r="G45" s="4" t="s">
        <v>933</v>
      </c>
      <c r="H45" s="4" t="s">
        <v>815</v>
      </c>
      <c r="I45" s="4" t="s">
        <v>934</v>
      </c>
      <c r="J45" s="4" t="s">
        <v>70</v>
      </c>
    </row>
    <row r="46" customFormat="false" ht="30" hidden="false" customHeight="true" outlineLevel="0" collapsed="false">
      <c r="A46" s="4" t="s">
        <v>397</v>
      </c>
      <c r="B46" s="4" t="s">
        <v>398</v>
      </c>
      <c r="C46" s="4" t="s">
        <v>399</v>
      </c>
      <c r="D46" s="4" t="s">
        <v>400</v>
      </c>
      <c r="E46" s="4" t="s">
        <v>479</v>
      </c>
      <c r="F46" s="4" t="s">
        <v>818</v>
      </c>
      <c r="G46" s="4" t="s">
        <v>935</v>
      </c>
      <c r="H46" s="4" t="s">
        <v>815</v>
      </c>
      <c r="I46" s="4" t="s">
        <v>936</v>
      </c>
      <c r="J46" s="4" t="s">
        <v>70</v>
      </c>
    </row>
    <row r="47" customFormat="false" ht="30" hidden="false" customHeight="true" outlineLevel="0" collapsed="false">
      <c r="A47" s="4" t="s">
        <v>397</v>
      </c>
      <c r="B47" s="4" t="s">
        <v>398</v>
      </c>
      <c r="C47" s="4" t="s">
        <v>399</v>
      </c>
      <c r="D47" s="4" t="s">
        <v>400</v>
      </c>
      <c r="E47" s="4" t="s">
        <v>431</v>
      </c>
      <c r="F47" s="4" t="s">
        <v>822</v>
      </c>
      <c r="G47" s="4" t="s">
        <v>937</v>
      </c>
      <c r="H47" s="4" t="s">
        <v>815</v>
      </c>
      <c r="I47" s="4" t="s">
        <v>938</v>
      </c>
      <c r="J47" s="4" t="s">
        <v>70</v>
      </c>
    </row>
    <row r="48" customFormat="false" ht="30" hidden="false" customHeight="true" outlineLevel="0" collapsed="false">
      <c r="A48" s="4" t="s">
        <v>397</v>
      </c>
      <c r="B48" s="4" t="s">
        <v>398</v>
      </c>
      <c r="C48" s="4" t="s">
        <v>399</v>
      </c>
      <c r="D48" s="4" t="s">
        <v>400</v>
      </c>
      <c r="E48" s="4" t="s">
        <v>500</v>
      </c>
      <c r="F48" s="4" t="s">
        <v>826</v>
      </c>
      <c r="G48" s="4" t="s">
        <v>939</v>
      </c>
      <c r="H48" s="4" t="s">
        <v>815</v>
      </c>
      <c r="I48" s="4" t="s">
        <v>940</v>
      </c>
      <c r="J48" s="4" t="s">
        <v>70</v>
      </c>
    </row>
    <row r="49" customFormat="false" ht="30" hidden="false" customHeight="true" outlineLevel="0" collapsed="false">
      <c r="A49" s="4" t="s">
        <v>503</v>
      </c>
      <c r="B49" s="4" t="s">
        <v>504</v>
      </c>
      <c r="C49" s="4" t="s">
        <v>505</v>
      </c>
      <c r="D49" s="4" t="s">
        <v>506</v>
      </c>
      <c r="E49" s="4" t="s">
        <v>520</v>
      </c>
      <c r="F49" s="4" t="s">
        <v>813</v>
      </c>
      <c r="G49" s="4" t="s">
        <v>941</v>
      </c>
      <c r="H49" s="4" t="s">
        <v>815</v>
      </c>
      <c r="I49" s="4" t="s">
        <v>942</v>
      </c>
      <c r="J49" s="4" t="s">
        <v>73</v>
      </c>
    </row>
    <row r="50" customFormat="false" ht="30" hidden="false" customHeight="true" outlineLevel="0" collapsed="false">
      <c r="A50" s="4" t="s">
        <v>503</v>
      </c>
      <c r="B50" s="4" t="s">
        <v>504</v>
      </c>
      <c r="C50" s="4" t="s">
        <v>505</v>
      </c>
      <c r="D50" s="4" t="s">
        <v>506</v>
      </c>
      <c r="E50" s="4" t="s">
        <v>943</v>
      </c>
      <c r="F50" s="4" t="s">
        <v>818</v>
      </c>
      <c r="G50" s="4" t="s">
        <v>944</v>
      </c>
      <c r="H50" s="4" t="s">
        <v>815</v>
      </c>
      <c r="I50" s="4" t="s">
        <v>945</v>
      </c>
      <c r="J50" s="4" t="s">
        <v>73</v>
      </c>
    </row>
    <row r="51" customFormat="false" ht="30" hidden="false" customHeight="true" outlineLevel="0" collapsed="false">
      <c r="A51" s="4" t="s">
        <v>503</v>
      </c>
      <c r="B51" s="4" t="s">
        <v>504</v>
      </c>
      <c r="C51" s="4" t="s">
        <v>505</v>
      </c>
      <c r="D51" s="4" t="s">
        <v>506</v>
      </c>
      <c r="E51" s="4" t="s">
        <v>512</v>
      </c>
      <c r="F51" s="4" t="s">
        <v>822</v>
      </c>
      <c r="G51" s="4" t="s">
        <v>946</v>
      </c>
      <c r="H51" s="4" t="s">
        <v>815</v>
      </c>
      <c r="I51" s="4" t="s">
        <v>947</v>
      </c>
      <c r="J51" s="4" t="s">
        <v>73</v>
      </c>
    </row>
    <row r="52" customFormat="false" ht="30" hidden="false" customHeight="true" outlineLevel="0" collapsed="false">
      <c r="A52" s="4" t="s">
        <v>528</v>
      </c>
      <c r="B52" s="4" t="s">
        <v>529</v>
      </c>
      <c r="C52" s="4" t="s">
        <v>530</v>
      </c>
      <c r="D52" s="4" t="s">
        <v>530</v>
      </c>
      <c r="E52" s="4" t="s">
        <v>545</v>
      </c>
      <c r="F52" s="4" t="s">
        <v>813</v>
      </c>
      <c r="G52" s="4" t="s">
        <v>948</v>
      </c>
      <c r="H52" s="4" t="s">
        <v>908</v>
      </c>
      <c r="I52" s="4" t="s">
        <v>949</v>
      </c>
      <c r="J52" s="4" t="s">
        <v>70</v>
      </c>
    </row>
    <row r="53" customFormat="false" ht="30" hidden="false" customHeight="true" outlineLevel="0" collapsed="false">
      <c r="A53" s="4" t="s">
        <v>528</v>
      </c>
      <c r="B53" s="4" t="s">
        <v>529</v>
      </c>
      <c r="C53" s="4" t="s">
        <v>530</v>
      </c>
      <c r="D53" s="4" t="s">
        <v>530</v>
      </c>
      <c r="E53" s="4" t="s">
        <v>950</v>
      </c>
      <c r="F53" s="4" t="s">
        <v>818</v>
      </c>
      <c r="G53" s="4" t="s">
        <v>951</v>
      </c>
      <c r="H53" s="4" t="s">
        <v>815</v>
      </c>
      <c r="I53" s="4" t="s">
        <v>952</v>
      </c>
      <c r="J53" s="4" t="s">
        <v>70</v>
      </c>
    </row>
    <row r="54" customFormat="false" ht="30" hidden="false" customHeight="true" outlineLevel="0" collapsed="false">
      <c r="A54" s="4" t="s">
        <v>404</v>
      </c>
      <c r="B54" s="4" t="s">
        <v>555</v>
      </c>
      <c r="C54" s="4" t="s">
        <v>556</v>
      </c>
      <c r="D54" s="4" t="s">
        <v>556</v>
      </c>
      <c r="E54" s="4" t="s">
        <v>564</v>
      </c>
      <c r="F54" s="4" t="s">
        <v>813</v>
      </c>
      <c r="G54" s="4" t="s">
        <v>953</v>
      </c>
      <c r="H54" s="4" t="s">
        <v>908</v>
      </c>
      <c r="I54" s="4" t="s">
        <v>954</v>
      </c>
      <c r="J54" s="4" t="s">
        <v>73</v>
      </c>
    </row>
    <row r="55" customFormat="false" ht="30" hidden="false" customHeight="true" outlineLevel="0" collapsed="false">
      <c r="A55" s="4" t="s">
        <v>404</v>
      </c>
      <c r="B55" s="4" t="s">
        <v>555</v>
      </c>
      <c r="C55" s="4" t="s">
        <v>556</v>
      </c>
      <c r="D55" s="4" t="s">
        <v>556</v>
      </c>
      <c r="E55" s="4" t="s">
        <v>955</v>
      </c>
      <c r="F55" s="4" t="s">
        <v>818</v>
      </c>
      <c r="G55" s="4" t="s">
        <v>956</v>
      </c>
      <c r="H55" s="4" t="s">
        <v>815</v>
      </c>
      <c r="I55" s="4" t="s">
        <v>957</v>
      </c>
      <c r="J55" s="4" t="s">
        <v>73</v>
      </c>
    </row>
    <row r="56" customFormat="false" ht="30" hidden="false" customHeight="true" outlineLevel="0" collapsed="false">
      <c r="A56" s="4" t="s">
        <v>404</v>
      </c>
      <c r="B56" s="4" t="s">
        <v>555</v>
      </c>
      <c r="C56" s="4" t="s">
        <v>556</v>
      </c>
      <c r="D56" s="4" t="s">
        <v>556</v>
      </c>
      <c r="E56" s="4" t="s">
        <v>958</v>
      </c>
      <c r="F56" s="4" t="s">
        <v>822</v>
      </c>
      <c r="G56" s="4" t="s">
        <v>959</v>
      </c>
      <c r="H56" s="4" t="s">
        <v>815</v>
      </c>
      <c r="I56" s="4" t="s">
        <v>960</v>
      </c>
      <c r="J56" s="4" t="s">
        <v>73</v>
      </c>
    </row>
    <row r="57" customFormat="false" ht="30" hidden="false" customHeight="true" outlineLevel="0" collapsed="false">
      <c r="A57" s="4" t="s">
        <v>404</v>
      </c>
      <c r="B57" s="4" t="s">
        <v>555</v>
      </c>
      <c r="C57" s="4" t="s">
        <v>556</v>
      </c>
      <c r="D57" s="4" t="s">
        <v>556</v>
      </c>
      <c r="E57" s="4" t="s">
        <v>578</v>
      </c>
      <c r="F57" s="4" t="s">
        <v>826</v>
      </c>
      <c r="G57" s="4" t="s">
        <v>961</v>
      </c>
      <c r="H57" s="4" t="s">
        <v>815</v>
      </c>
      <c r="I57" s="4" t="s">
        <v>962</v>
      </c>
      <c r="J57" s="4" t="s">
        <v>73</v>
      </c>
    </row>
    <row r="58" customFormat="false" ht="30" hidden="false" customHeight="true" outlineLevel="0" collapsed="false">
      <c r="A58" s="4" t="s">
        <v>581</v>
      </c>
      <c r="B58" s="4" t="s">
        <v>582</v>
      </c>
      <c r="C58" s="4" t="s">
        <v>583</v>
      </c>
      <c r="D58" s="4" t="s">
        <v>584</v>
      </c>
      <c r="E58" s="4" t="s">
        <v>963</v>
      </c>
      <c r="F58" s="4" t="s">
        <v>813</v>
      </c>
      <c r="G58" s="4" t="s">
        <v>964</v>
      </c>
      <c r="H58" s="4" t="s">
        <v>815</v>
      </c>
      <c r="I58" s="4" t="s">
        <v>965</v>
      </c>
      <c r="J58" s="4" t="s">
        <v>70</v>
      </c>
    </row>
    <row r="59" customFormat="false" ht="30" hidden="false" customHeight="true" outlineLevel="0" collapsed="false">
      <c r="A59" s="4" t="s">
        <v>581</v>
      </c>
      <c r="B59" s="4" t="s">
        <v>582</v>
      </c>
      <c r="C59" s="4" t="s">
        <v>583</v>
      </c>
      <c r="D59" s="4" t="s">
        <v>584</v>
      </c>
      <c r="E59" s="4" t="s">
        <v>966</v>
      </c>
      <c r="F59" s="4" t="s">
        <v>818</v>
      </c>
      <c r="G59" s="4" t="s">
        <v>967</v>
      </c>
      <c r="H59" s="4" t="s">
        <v>815</v>
      </c>
      <c r="I59" s="4" t="s">
        <v>968</v>
      </c>
      <c r="J59" s="4" t="s">
        <v>70</v>
      </c>
    </row>
    <row r="60" customFormat="false" ht="30" hidden="false" customHeight="true" outlineLevel="0" collapsed="false">
      <c r="A60" s="4" t="s">
        <v>581</v>
      </c>
      <c r="B60" s="4" t="s">
        <v>582</v>
      </c>
      <c r="C60" s="4" t="s">
        <v>583</v>
      </c>
      <c r="D60" s="4" t="s">
        <v>584</v>
      </c>
      <c r="E60" s="4" t="s">
        <v>597</v>
      </c>
      <c r="F60" s="4" t="s">
        <v>822</v>
      </c>
      <c r="G60" s="4" t="s">
        <v>969</v>
      </c>
      <c r="H60" s="4" t="s">
        <v>815</v>
      </c>
      <c r="I60" s="4" t="s">
        <v>970</v>
      </c>
      <c r="J60" s="4" t="s">
        <v>70</v>
      </c>
    </row>
    <row r="61" customFormat="false" ht="30" hidden="false" customHeight="true" outlineLevel="0" collapsed="false">
      <c r="A61" s="4" t="s">
        <v>581</v>
      </c>
      <c r="B61" s="4" t="s">
        <v>582</v>
      </c>
      <c r="C61" s="4" t="s">
        <v>583</v>
      </c>
      <c r="D61" s="4" t="s">
        <v>584</v>
      </c>
      <c r="E61" s="4" t="s">
        <v>971</v>
      </c>
      <c r="F61" s="4" t="s">
        <v>826</v>
      </c>
      <c r="G61" s="4" t="s">
        <v>972</v>
      </c>
      <c r="H61" s="4" t="s">
        <v>815</v>
      </c>
      <c r="I61" s="4" t="s">
        <v>973</v>
      </c>
      <c r="J61" s="4" t="s">
        <v>70</v>
      </c>
    </row>
    <row r="62" customFormat="false" ht="30" hidden="false" customHeight="true" outlineLevel="0" collapsed="false">
      <c r="A62" s="4" t="s">
        <v>581</v>
      </c>
      <c r="B62" s="4" t="s">
        <v>582</v>
      </c>
      <c r="C62" s="4" t="s">
        <v>583</v>
      </c>
      <c r="D62" s="4" t="s">
        <v>584</v>
      </c>
      <c r="E62" s="4" t="s">
        <v>974</v>
      </c>
      <c r="F62" s="4" t="s">
        <v>829</v>
      </c>
      <c r="G62" s="4" t="s">
        <v>975</v>
      </c>
      <c r="H62" s="4" t="s">
        <v>815</v>
      </c>
      <c r="I62" s="4" t="s">
        <v>976</v>
      </c>
      <c r="J62" s="4" t="s">
        <v>70</v>
      </c>
    </row>
    <row r="63" customFormat="false" ht="30" hidden="false" customHeight="true" outlineLevel="0" collapsed="false">
      <c r="A63" s="4" t="s">
        <v>581</v>
      </c>
      <c r="B63" s="4" t="s">
        <v>582</v>
      </c>
      <c r="C63" s="4" t="s">
        <v>583</v>
      </c>
      <c r="D63" s="4" t="s">
        <v>584</v>
      </c>
      <c r="E63" s="4" t="s">
        <v>615</v>
      </c>
      <c r="F63" s="4" t="s">
        <v>833</v>
      </c>
      <c r="G63" s="4" t="s">
        <v>977</v>
      </c>
      <c r="H63" s="4" t="s">
        <v>911</v>
      </c>
      <c r="I63" s="4" t="s">
        <v>978</v>
      </c>
      <c r="J63" s="4" t="s">
        <v>70</v>
      </c>
    </row>
    <row r="64" customFormat="false" ht="30" hidden="false" customHeight="true" outlineLevel="0" collapsed="false">
      <c r="A64" s="4" t="s">
        <v>634</v>
      </c>
      <c r="B64" s="4" t="s">
        <v>635</v>
      </c>
      <c r="C64" s="4" t="s">
        <v>583</v>
      </c>
      <c r="D64" s="4" t="s">
        <v>636</v>
      </c>
      <c r="E64" s="4" t="s">
        <v>979</v>
      </c>
      <c r="F64" s="4" t="s">
        <v>813</v>
      </c>
      <c r="G64" s="4" t="s">
        <v>980</v>
      </c>
      <c r="H64" s="4" t="s">
        <v>815</v>
      </c>
      <c r="I64" s="4" t="s">
        <v>981</v>
      </c>
      <c r="J64" s="4" t="s">
        <v>70</v>
      </c>
    </row>
    <row r="65" customFormat="false" ht="30" hidden="false" customHeight="true" outlineLevel="0" collapsed="false">
      <c r="A65" s="4" t="s">
        <v>634</v>
      </c>
      <c r="B65" s="4" t="s">
        <v>635</v>
      </c>
      <c r="C65" s="4" t="s">
        <v>583</v>
      </c>
      <c r="D65" s="4" t="s">
        <v>636</v>
      </c>
      <c r="E65" s="4" t="s">
        <v>643</v>
      </c>
      <c r="F65" s="4" t="s">
        <v>818</v>
      </c>
      <c r="G65" s="4" t="s">
        <v>688</v>
      </c>
      <c r="H65" s="4" t="s">
        <v>815</v>
      </c>
      <c r="I65" s="4" t="s">
        <v>982</v>
      </c>
      <c r="J65" s="4" t="s">
        <v>70</v>
      </c>
    </row>
    <row r="66" customFormat="false" ht="30" hidden="false" customHeight="true" outlineLevel="0" collapsed="false">
      <c r="A66" s="4" t="s">
        <v>634</v>
      </c>
      <c r="B66" s="4" t="s">
        <v>635</v>
      </c>
      <c r="C66" s="4" t="s">
        <v>583</v>
      </c>
      <c r="D66" s="4" t="s">
        <v>636</v>
      </c>
      <c r="E66" s="4" t="s">
        <v>983</v>
      </c>
      <c r="F66" s="4" t="s">
        <v>822</v>
      </c>
      <c r="G66" s="4" t="s">
        <v>984</v>
      </c>
      <c r="H66" s="4" t="s">
        <v>815</v>
      </c>
      <c r="I66" s="4" t="s">
        <v>985</v>
      </c>
      <c r="J66" s="4" t="s">
        <v>70</v>
      </c>
    </row>
    <row r="67" customFormat="false" ht="30" hidden="false" customHeight="true" outlineLevel="0" collapsed="false">
      <c r="A67" s="4" t="s">
        <v>634</v>
      </c>
      <c r="B67" s="4" t="s">
        <v>635</v>
      </c>
      <c r="C67" s="4" t="s">
        <v>583</v>
      </c>
      <c r="D67" s="4" t="s">
        <v>636</v>
      </c>
      <c r="E67" s="4" t="s">
        <v>986</v>
      </c>
      <c r="F67" s="4" t="s">
        <v>826</v>
      </c>
      <c r="G67" s="4" t="s">
        <v>987</v>
      </c>
      <c r="H67" s="4" t="s">
        <v>815</v>
      </c>
      <c r="I67" s="4" t="s">
        <v>988</v>
      </c>
      <c r="J67" s="4" t="s">
        <v>70</v>
      </c>
    </row>
    <row r="68" customFormat="false" ht="30" hidden="false" customHeight="true" outlineLevel="0" collapsed="false">
      <c r="A68" s="4" t="s">
        <v>634</v>
      </c>
      <c r="B68" s="4" t="s">
        <v>635</v>
      </c>
      <c r="C68" s="4" t="s">
        <v>583</v>
      </c>
      <c r="D68" s="4" t="s">
        <v>636</v>
      </c>
      <c r="E68" s="4" t="s">
        <v>989</v>
      </c>
      <c r="F68" s="4" t="s">
        <v>829</v>
      </c>
      <c r="G68" s="4" t="s">
        <v>990</v>
      </c>
      <c r="H68" s="4" t="s">
        <v>815</v>
      </c>
      <c r="I68" s="4" t="s">
        <v>991</v>
      </c>
      <c r="J68" s="4" t="s">
        <v>70</v>
      </c>
    </row>
    <row r="69" customFormat="false" ht="30" hidden="false" customHeight="true" outlineLevel="0" collapsed="false">
      <c r="A69" s="4" t="s">
        <v>634</v>
      </c>
      <c r="B69" s="4" t="s">
        <v>635</v>
      </c>
      <c r="C69" s="4" t="s">
        <v>583</v>
      </c>
      <c r="D69" s="4" t="s">
        <v>636</v>
      </c>
      <c r="E69" s="4" t="s">
        <v>672</v>
      </c>
      <c r="F69" s="4" t="s">
        <v>833</v>
      </c>
      <c r="G69" s="4" t="s">
        <v>992</v>
      </c>
      <c r="H69" s="4" t="s">
        <v>815</v>
      </c>
      <c r="I69" s="4" t="s">
        <v>993</v>
      </c>
      <c r="J69" s="4" t="s">
        <v>70</v>
      </c>
    </row>
    <row r="70" customFormat="false" ht="30" hidden="false" customHeight="true" outlineLevel="0" collapsed="false">
      <c r="A70" s="4" t="s">
        <v>634</v>
      </c>
      <c r="B70" s="4" t="s">
        <v>635</v>
      </c>
      <c r="C70" s="4" t="s">
        <v>583</v>
      </c>
      <c r="D70" s="4" t="s">
        <v>636</v>
      </c>
      <c r="E70" s="4" t="s">
        <v>650</v>
      </c>
      <c r="F70" s="4" t="s">
        <v>837</v>
      </c>
      <c r="G70" s="4" t="s">
        <v>994</v>
      </c>
      <c r="H70" s="4" t="s">
        <v>911</v>
      </c>
      <c r="I70" s="4" t="s">
        <v>995</v>
      </c>
      <c r="J70" s="4" t="s">
        <v>70</v>
      </c>
    </row>
    <row r="71" customFormat="false" ht="30" hidden="false" customHeight="true" outlineLevel="0" collapsed="false">
      <c r="A71" s="4" t="s">
        <v>634</v>
      </c>
      <c r="B71" s="4" t="s">
        <v>635</v>
      </c>
      <c r="C71" s="4" t="s">
        <v>583</v>
      </c>
      <c r="D71" s="4" t="s">
        <v>636</v>
      </c>
      <c r="E71" s="4" t="s">
        <v>665</v>
      </c>
      <c r="F71" s="4" t="s">
        <v>840</v>
      </c>
      <c r="G71" s="4" t="s">
        <v>996</v>
      </c>
      <c r="H71" s="4" t="s">
        <v>911</v>
      </c>
      <c r="I71" s="4" t="s">
        <v>997</v>
      </c>
      <c r="J71" s="4" t="s">
        <v>70</v>
      </c>
    </row>
    <row r="72" customFormat="false" ht="30" hidden="false" customHeight="true" outlineLevel="0" collapsed="false">
      <c r="A72" s="4" t="s">
        <v>703</v>
      </c>
      <c r="B72" s="4" t="s">
        <v>704</v>
      </c>
      <c r="C72" s="4" t="s">
        <v>583</v>
      </c>
      <c r="D72" s="4" t="s">
        <v>705</v>
      </c>
      <c r="E72" s="4" t="s">
        <v>727</v>
      </c>
      <c r="F72" s="4" t="s">
        <v>813</v>
      </c>
      <c r="G72" s="4" t="s">
        <v>998</v>
      </c>
      <c r="H72" s="4" t="s">
        <v>815</v>
      </c>
      <c r="I72" s="4" t="s">
        <v>999</v>
      </c>
      <c r="J72" s="4" t="s">
        <v>70</v>
      </c>
    </row>
    <row r="73" customFormat="false" ht="30" hidden="false" customHeight="true" outlineLevel="0" collapsed="false">
      <c r="A73" s="4" t="s">
        <v>703</v>
      </c>
      <c r="B73" s="4" t="s">
        <v>704</v>
      </c>
      <c r="C73" s="4" t="s">
        <v>583</v>
      </c>
      <c r="D73" s="4" t="s">
        <v>705</v>
      </c>
      <c r="E73" s="4" t="s">
        <v>713</v>
      </c>
      <c r="F73" s="4" t="s">
        <v>818</v>
      </c>
      <c r="G73" s="4" t="s">
        <v>708</v>
      </c>
      <c r="H73" s="4" t="s">
        <v>815</v>
      </c>
      <c r="I73" s="4" t="s">
        <v>1000</v>
      </c>
      <c r="J73" s="4" t="s">
        <v>70</v>
      </c>
    </row>
    <row r="74" customFormat="false" ht="30" hidden="false" customHeight="true" outlineLevel="0" collapsed="false">
      <c r="A74" s="4" t="s">
        <v>703</v>
      </c>
      <c r="B74" s="4" t="s">
        <v>704</v>
      </c>
      <c r="C74" s="4" t="s">
        <v>583</v>
      </c>
      <c r="D74" s="4" t="s">
        <v>705</v>
      </c>
      <c r="E74" s="4" t="s">
        <v>735</v>
      </c>
      <c r="F74" s="4" t="s">
        <v>822</v>
      </c>
      <c r="G74" s="4" t="s">
        <v>992</v>
      </c>
      <c r="H74" s="4" t="s">
        <v>815</v>
      </c>
      <c r="I74" s="4" t="s">
        <v>1001</v>
      </c>
      <c r="J74" s="4" t="s">
        <v>70</v>
      </c>
    </row>
    <row r="75" customFormat="false" ht="30" hidden="false" customHeight="true" outlineLevel="0" collapsed="false">
      <c r="A75" s="4" t="s">
        <v>703</v>
      </c>
      <c r="B75" s="4" t="s">
        <v>704</v>
      </c>
      <c r="C75" s="4" t="s">
        <v>583</v>
      </c>
      <c r="D75" s="4" t="s">
        <v>705</v>
      </c>
      <c r="E75" s="4" t="s">
        <v>720</v>
      </c>
      <c r="F75" s="4" t="s">
        <v>826</v>
      </c>
      <c r="G75" s="4" t="s">
        <v>1002</v>
      </c>
      <c r="H75" s="4" t="s">
        <v>911</v>
      </c>
      <c r="I75" s="4" t="s">
        <v>1003</v>
      </c>
      <c r="J75" s="4" t="s">
        <v>70</v>
      </c>
    </row>
    <row r="76" customFormat="false" ht="30" hidden="false" customHeight="true" outlineLevel="0" collapsed="false">
      <c r="A76" s="4" t="s">
        <v>703</v>
      </c>
      <c r="B76" s="4" t="s">
        <v>704</v>
      </c>
      <c r="C76" s="4" t="s">
        <v>583</v>
      </c>
      <c r="D76" s="4" t="s">
        <v>705</v>
      </c>
      <c r="E76" s="4" t="s">
        <v>743</v>
      </c>
      <c r="F76" s="4" t="s">
        <v>829</v>
      </c>
      <c r="G76" s="4" t="s">
        <v>1004</v>
      </c>
      <c r="H76" s="4" t="s">
        <v>911</v>
      </c>
      <c r="I76" s="4" t="s">
        <v>1005</v>
      </c>
      <c r="J76" s="4" t="s">
        <v>70</v>
      </c>
    </row>
    <row r="77" customFormat="false" ht="30" hidden="false" customHeight="true" outlineLevel="0" collapsed="false">
      <c r="A77" s="4" t="s">
        <v>703</v>
      </c>
      <c r="B77" s="4" t="s">
        <v>704</v>
      </c>
      <c r="C77" s="4" t="s">
        <v>583</v>
      </c>
      <c r="D77" s="4" t="s">
        <v>705</v>
      </c>
      <c r="E77" s="4" t="s">
        <v>750</v>
      </c>
      <c r="F77" s="4" t="s">
        <v>833</v>
      </c>
      <c r="G77" s="4" t="s">
        <v>1006</v>
      </c>
      <c r="H77" s="4" t="s">
        <v>865</v>
      </c>
      <c r="I77" s="4" t="s">
        <v>1007</v>
      </c>
      <c r="J77" s="4" t="s">
        <v>70</v>
      </c>
    </row>
    <row r="78" customFormat="false" ht="30" hidden="false" customHeight="true" outlineLevel="0" collapsed="false">
      <c r="A78" s="4" t="s">
        <v>776</v>
      </c>
      <c r="B78" s="4" t="s">
        <v>777</v>
      </c>
      <c r="C78" s="4" t="s">
        <v>583</v>
      </c>
      <c r="D78" s="4" t="s">
        <v>778</v>
      </c>
      <c r="E78" s="4" t="s">
        <v>786</v>
      </c>
      <c r="F78" s="4" t="s">
        <v>813</v>
      </c>
      <c r="G78" s="4" t="s">
        <v>1008</v>
      </c>
      <c r="H78" s="4" t="s">
        <v>815</v>
      </c>
      <c r="I78" s="4" t="s">
        <v>1009</v>
      </c>
      <c r="J78" s="4" t="s">
        <v>70</v>
      </c>
    </row>
    <row r="79" customFormat="false" ht="30" hidden="false" customHeight="true" outlineLevel="0" collapsed="false">
      <c r="A79" s="4" t="s">
        <v>776</v>
      </c>
      <c r="B79" s="4" t="s">
        <v>777</v>
      </c>
      <c r="C79" s="4" t="s">
        <v>583</v>
      </c>
      <c r="D79" s="4" t="s">
        <v>778</v>
      </c>
      <c r="E79" s="4" t="s">
        <v>1010</v>
      </c>
      <c r="F79" s="4" t="s">
        <v>818</v>
      </c>
      <c r="G79" s="4" t="s">
        <v>1011</v>
      </c>
      <c r="H79" s="4" t="s">
        <v>815</v>
      </c>
      <c r="I79" s="4" t="s">
        <v>1012</v>
      </c>
      <c r="J79" s="4" t="s">
        <v>70</v>
      </c>
    </row>
    <row r="80" customFormat="false" ht="30" hidden="false" customHeight="true" outlineLevel="0" collapsed="false">
      <c r="A80" s="4" t="s">
        <v>776</v>
      </c>
      <c r="B80" s="4" t="s">
        <v>777</v>
      </c>
      <c r="C80" s="4" t="s">
        <v>583</v>
      </c>
      <c r="D80" s="4" t="s">
        <v>778</v>
      </c>
      <c r="E80" s="4" t="s">
        <v>1013</v>
      </c>
      <c r="F80" s="4" t="s">
        <v>822</v>
      </c>
      <c r="G80" s="4" t="s">
        <v>1014</v>
      </c>
      <c r="H80" s="4" t="s">
        <v>815</v>
      </c>
      <c r="I80" s="4" t="s">
        <v>1015</v>
      </c>
      <c r="J80" s="4" t="s">
        <v>70</v>
      </c>
    </row>
    <row r="81" customFormat="false" ht="30" hidden="false" customHeight="true" outlineLevel="0" collapsed="false">
      <c r="A81" s="4" t="s">
        <v>776</v>
      </c>
      <c r="B81" s="4" t="s">
        <v>777</v>
      </c>
      <c r="C81" s="4" t="s">
        <v>583</v>
      </c>
      <c r="D81" s="4" t="s">
        <v>778</v>
      </c>
      <c r="E81" s="4" t="s">
        <v>794</v>
      </c>
      <c r="F81" s="4" t="s">
        <v>826</v>
      </c>
      <c r="G81" s="4" t="s">
        <v>1016</v>
      </c>
      <c r="H81" s="4" t="s">
        <v>815</v>
      </c>
      <c r="I81" s="4" t="s">
        <v>1017</v>
      </c>
      <c r="J81" s="4" t="s">
        <v>70</v>
      </c>
    </row>
    <row r="82" customFormat="false" ht="30" hidden="false" customHeight="true" outlineLevel="0" collapsed="false">
      <c r="A82" s="4" t="s">
        <v>776</v>
      </c>
      <c r="B82" s="4" t="s">
        <v>777</v>
      </c>
      <c r="C82" s="4" t="s">
        <v>583</v>
      </c>
      <c r="D82" s="4" t="s">
        <v>778</v>
      </c>
      <c r="E82" s="4" t="s">
        <v>1018</v>
      </c>
      <c r="F82" s="4" t="s">
        <v>829</v>
      </c>
      <c r="G82" s="4" t="s">
        <v>1019</v>
      </c>
      <c r="H82" s="4" t="s">
        <v>815</v>
      </c>
      <c r="I82" s="4" t="s">
        <v>1020</v>
      </c>
      <c r="J82" s="4" t="s">
        <v>70</v>
      </c>
    </row>
    <row r="83" customFormat="false" ht="30" hidden="false" customHeight="true" outlineLevel="0" collapsed="false">
      <c r="A83" s="4" t="s">
        <v>776</v>
      </c>
      <c r="B83" s="4" t="s">
        <v>777</v>
      </c>
      <c r="C83" s="4" t="s">
        <v>583</v>
      </c>
      <c r="D83" s="4" t="s">
        <v>778</v>
      </c>
      <c r="E83" s="4" t="s">
        <v>1021</v>
      </c>
      <c r="F83" s="4" t="s">
        <v>833</v>
      </c>
      <c r="G83" s="4" t="s">
        <v>1022</v>
      </c>
      <c r="H83" s="4" t="s">
        <v>911</v>
      </c>
      <c r="I83" s="4" t="s">
        <v>1023</v>
      </c>
      <c r="J83" s="4" t="s">
        <v>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41.75" hidden="false" customHeight="false" outlineLevel="0" collapsed="false">
      <c r="A1" s="16" t="s">
        <v>54</v>
      </c>
      <c r="B1" s="16" t="s">
        <v>56</v>
      </c>
      <c r="C1" s="16"/>
      <c r="D1" s="16" t="s">
        <v>555</v>
      </c>
      <c r="E1" s="16" t="s">
        <v>197</v>
      </c>
      <c r="F1" s="16" t="s">
        <v>529</v>
      </c>
      <c r="G1" s="16" t="s">
        <v>398</v>
      </c>
      <c r="H1" s="16" t="s">
        <v>635</v>
      </c>
      <c r="I1" s="16" t="s">
        <v>777</v>
      </c>
      <c r="J1" s="16" t="s">
        <v>215</v>
      </c>
      <c r="K1" s="16" t="s">
        <v>704</v>
      </c>
      <c r="L1" s="16" t="s">
        <v>353</v>
      </c>
      <c r="M1" s="16" t="s">
        <v>261</v>
      </c>
      <c r="N1" s="16" t="s">
        <v>62</v>
      </c>
      <c r="O1" s="16" t="s">
        <v>280</v>
      </c>
      <c r="P1" s="16" t="s">
        <v>582</v>
      </c>
      <c r="Q1" s="16" t="s">
        <v>174</v>
      </c>
      <c r="R1" s="16" t="s">
        <v>504</v>
      </c>
      <c r="S1" s="16" t="s">
        <v>122</v>
      </c>
      <c r="T1" s="16" t="s">
        <v>106</v>
      </c>
    </row>
    <row r="2" customFormat="false" ht="41.75" hidden="false" customHeight="false" outlineLevel="0" collapsed="false">
      <c r="A2" s="4" t="s">
        <v>71</v>
      </c>
      <c r="B2" s="4" t="s">
        <v>70</v>
      </c>
      <c r="C2" s="4"/>
      <c r="D2" s="4" t="s">
        <v>564</v>
      </c>
      <c r="E2" s="4" t="s">
        <v>206</v>
      </c>
      <c r="F2" s="4" t="s">
        <v>545</v>
      </c>
      <c r="G2" s="4" t="s">
        <v>932</v>
      </c>
      <c r="H2" s="4" t="s">
        <v>979</v>
      </c>
      <c r="I2" s="4" t="s">
        <v>786</v>
      </c>
      <c r="J2" s="4" t="s">
        <v>242</v>
      </c>
      <c r="K2" s="4" t="s">
        <v>727</v>
      </c>
      <c r="L2" s="4" t="s">
        <v>922</v>
      </c>
      <c r="M2" s="4" t="s">
        <v>277</v>
      </c>
      <c r="N2" s="4" t="s">
        <v>812</v>
      </c>
      <c r="O2" s="4" t="s">
        <v>324</v>
      </c>
      <c r="P2" s="4" t="s">
        <v>963</v>
      </c>
      <c r="Q2" s="4" t="s">
        <v>181</v>
      </c>
      <c r="R2" s="4" t="s">
        <v>520</v>
      </c>
      <c r="S2" s="4" t="s">
        <v>132</v>
      </c>
      <c r="T2" s="4" t="s">
        <v>843</v>
      </c>
    </row>
    <row r="3" customFormat="false" ht="41.75" hidden="false" customHeight="false" outlineLevel="0" collapsed="false">
      <c r="A3" s="4" t="s">
        <v>81</v>
      </c>
      <c r="B3" s="4" t="s">
        <v>73</v>
      </c>
      <c r="C3" s="4"/>
      <c r="D3" s="4" t="s">
        <v>955</v>
      </c>
      <c r="E3" s="4" t="s">
        <v>881</v>
      </c>
      <c r="F3" s="4" t="s">
        <v>950</v>
      </c>
      <c r="G3" s="4" t="s">
        <v>479</v>
      </c>
      <c r="H3" s="4" t="s">
        <v>643</v>
      </c>
      <c r="I3" s="4" t="s">
        <v>1010</v>
      </c>
      <c r="J3" s="4" t="s">
        <v>889</v>
      </c>
      <c r="K3" s="4" t="s">
        <v>713</v>
      </c>
      <c r="L3" s="4" t="s">
        <v>383</v>
      </c>
      <c r="M3" s="4" t="s">
        <v>899</v>
      </c>
      <c r="N3" s="4" t="s">
        <v>817</v>
      </c>
      <c r="O3" s="4" t="s">
        <v>316</v>
      </c>
      <c r="P3" s="4" t="s">
        <v>966</v>
      </c>
      <c r="Q3" s="4" t="s">
        <v>869</v>
      </c>
      <c r="R3" s="4" t="s">
        <v>943</v>
      </c>
      <c r="S3" s="4" t="s">
        <v>171</v>
      </c>
      <c r="T3" s="4" t="s">
        <v>846</v>
      </c>
    </row>
    <row r="4" customFormat="false" ht="28.35" hidden="false" customHeight="false" outlineLevel="0" collapsed="false">
      <c r="A4" s="4" t="s">
        <v>97</v>
      </c>
      <c r="B4" s="4" t="s">
        <v>405</v>
      </c>
      <c r="C4" s="4"/>
      <c r="D4" s="4" t="s">
        <v>958</v>
      </c>
      <c r="E4" s="4" t="s">
        <v>884</v>
      </c>
      <c r="F4" s="4"/>
      <c r="G4" s="4" t="s">
        <v>431</v>
      </c>
      <c r="H4" s="4" t="s">
        <v>983</v>
      </c>
      <c r="I4" s="4" t="s">
        <v>1013</v>
      </c>
      <c r="J4" s="4" t="s">
        <v>892</v>
      </c>
      <c r="K4" s="4" t="s">
        <v>735</v>
      </c>
      <c r="L4" s="4" t="s">
        <v>927</v>
      </c>
      <c r="M4" s="4" t="s">
        <v>902</v>
      </c>
      <c r="N4" s="4" t="s">
        <v>821</v>
      </c>
      <c r="O4" s="4" t="s">
        <v>297</v>
      </c>
      <c r="P4" s="4" t="s">
        <v>597</v>
      </c>
      <c r="Q4" s="4" t="s">
        <v>871</v>
      </c>
      <c r="R4" s="4" t="s">
        <v>512</v>
      </c>
      <c r="S4" s="4" t="s">
        <v>855</v>
      </c>
      <c r="T4" s="4" t="s">
        <v>119</v>
      </c>
    </row>
    <row r="5" customFormat="false" ht="28.35" hidden="false" customHeight="false" outlineLevel="0" collapsed="false">
      <c r="A5" s="4"/>
      <c r="B5" s="4"/>
      <c r="C5" s="4"/>
      <c r="D5" s="4" t="s">
        <v>578</v>
      </c>
      <c r="E5" s="4"/>
      <c r="F5" s="4"/>
      <c r="G5" s="4" t="s">
        <v>500</v>
      </c>
      <c r="H5" s="4" t="s">
        <v>986</v>
      </c>
      <c r="I5" s="4" t="s">
        <v>794</v>
      </c>
      <c r="J5" s="4" t="s">
        <v>234</v>
      </c>
      <c r="K5" s="4" t="s">
        <v>720</v>
      </c>
      <c r="L5" s="4" t="s">
        <v>361</v>
      </c>
      <c r="M5" s="4" t="s">
        <v>905</v>
      </c>
      <c r="N5" s="4" t="s">
        <v>825</v>
      </c>
      <c r="O5" s="4" t="s">
        <v>304</v>
      </c>
      <c r="P5" s="4" t="s">
        <v>971</v>
      </c>
      <c r="Q5" s="4" t="s">
        <v>194</v>
      </c>
      <c r="R5" s="4"/>
      <c r="S5" s="4" t="s">
        <v>858</v>
      </c>
      <c r="T5" s="4"/>
    </row>
    <row r="6" customFormat="false" ht="28.35" hidden="false" customHeight="false" outlineLevel="0" collapsed="false">
      <c r="A6" s="4"/>
      <c r="B6" s="4"/>
      <c r="C6" s="4"/>
      <c r="D6" s="4"/>
      <c r="E6" s="4"/>
      <c r="F6" s="4"/>
      <c r="G6" s="4"/>
      <c r="H6" s="4" t="s">
        <v>989</v>
      </c>
      <c r="I6" s="4" t="s">
        <v>1018</v>
      </c>
      <c r="J6" s="4"/>
      <c r="K6" s="4" t="s">
        <v>743</v>
      </c>
      <c r="L6" s="4"/>
      <c r="M6" s="4"/>
      <c r="N6" s="4" t="s">
        <v>89</v>
      </c>
      <c r="O6" s="4" t="s">
        <v>343</v>
      </c>
      <c r="P6" s="4" t="s">
        <v>974</v>
      </c>
      <c r="Q6" s="4" t="s">
        <v>876</v>
      </c>
      <c r="R6" s="4"/>
      <c r="S6" s="4" t="s">
        <v>861</v>
      </c>
      <c r="T6" s="4"/>
    </row>
    <row r="7" customFormat="false" ht="28.35" hidden="false" customHeight="false" outlineLevel="0" collapsed="false">
      <c r="A7" s="4"/>
      <c r="B7" s="4"/>
      <c r="C7" s="4"/>
      <c r="D7" s="4"/>
      <c r="E7" s="4"/>
      <c r="F7" s="4"/>
      <c r="G7" s="4"/>
      <c r="H7" s="4" t="s">
        <v>672</v>
      </c>
      <c r="I7" s="4" t="s">
        <v>1021</v>
      </c>
      <c r="J7" s="4"/>
      <c r="K7" s="4" t="s">
        <v>750</v>
      </c>
      <c r="L7" s="4"/>
      <c r="M7" s="4"/>
      <c r="N7" s="4" t="s">
        <v>832</v>
      </c>
      <c r="O7" s="4" t="s">
        <v>919</v>
      </c>
      <c r="P7" s="4" t="s">
        <v>615</v>
      </c>
      <c r="Q7" s="4"/>
      <c r="R7" s="4"/>
      <c r="S7" s="4" t="s">
        <v>163</v>
      </c>
      <c r="T7" s="4"/>
    </row>
    <row r="8" customFormat="false" ht="28.35" hidden="false" customHeight="false" outlineLevel="0" collapsed="false">
      <c r="A8" s="4"/>
      <c r="B8" s="4"/>
      <c r="C8" s="4"/>
      <c r="D8" s="4"/>
      <c r="E8" s="4"/>
      <c r="F8" s="4"/>
      <c r="G8" s="4"/>
      <c r="H8" s="4" t="s">
        <v>650</v>
      </c>
      <c r="I8" s="4"/>
      <c r="J8" s="4"/>
      <c r="K8" s="4"/>
      <c r="L8" s="4"/>
      <c r="M8" s="4"/>
      <c r="N8" s="4" t="s">
        <v>836</v>
      </c>
      <c r="O8" s="4"/>
      <c r="P8" s="4"/>
      <c r="Q8" s="4"/>
      <c r="R8" s="4"/>
      <c r="S8" s="4"/>
      <c r="T8" s="4"/>
    </row>
    <row r="9" customFormat="false" ht="28.35" hidden="false" customHeight="false" outlineLevel="0" collapsed="false">
      <c r="A9" s="4"/>
      <c r="B9" s="4"/>
      <c r="C9" s="4"/>
      <c r="D9" s="4"/>
      <c r="E9" s="4"/>
      <c r="F9" s="4"/>
      <c r="G9" s="4"/>
      <c r="H9" s="4" t="s">
        <v>665</v>
      </c>
      <c r="I9" s="4"/>
      <c r="J9" s="4"/>
      <c r="K9" s="4"/>
      <c r="L9" s="4"/>
      <c r="M9" s="4"/>
      <c r="N9" s="4" t="s">
        <v>72</v>
      </c>
      <c r="O9" s="4"/>
      <c r="P9" s="4"/>
      <c r="Q9" s="4"/>
      <c r="R9" s="4"/>
      <c r="S9" s="4"/>
      <c r="T9" s="4"/>
    </row>
    <row r="10" customFormat="false" ht="15" hidden="false" customHeight="false" outlineLevel="0" collapsed="false">
      <c r="A10" s="4"/>
      <c r="B10" s="4"/>
      <c r="C10" s="4"/>
      <c r="D10" s="4"/>
      <c r="E10" s="4"/>
      <c r="F10" s="4"/>
      <c r="G10" s="4"/>
      <c r="H10" s="4"/>
      <c r="I10" s="4"/>
      <c r="J10" s="4"/>
      <c r="K10" s="4"/>
      <c r="L10" s="4"/>
      <c r="M10" s="4"/>
      <c r="N10" s="4"/>
      <c r="O10" s="4"/>
      <c r="P10" s="4"/>
      <c r="Q10" s="4"/>
      <c r="R10" s="4"/>
      <c r="S10" s="4"/>
      <c r="T10" s="4"/>
    </row>
    <row r="11" customFormat="false" ht="15" hidden="false" customHeight="false" outlineLevel="0" collapsed="false">
      <c r="A11" s="4"/>
      <c r="B11" s="4"/>
      <c r="C11" s="4"/>
      <c r="D11" s="4"/>
      <c r="E11" s="4"/>
      <c r="F11" s="4"/>
      <c r="G11" s="4"/>
      <c r="H11" s="4"/>
      <c r="I11" s="4"/>
      <c r="J11" s="4"/>
      <c r="K11" s="4"/>
      <c r="L11" s="4"/>
      <c r="M11" s="4"/>
      <c r="N11" s="4"/>
      <c r="O11" s="4"/>
      <c r="P11" s="4"/>
      <c r="Q11" s="4"/>
      <c r="R11" s="4"/>
      <c r="S11" s="4"/>
      <c r="T11" s="4"/>
    </row>
    <row r="12" customFormat="false" ht="15" hidden="false" customHeight="false" outlineLevel="0" collapsed="false">
      <c r="A12" s="4"/>
      <c r="B12" s="4"/>
      <c r="C12" s="4"/>
      <c r="D12" s="4"/>
      <c r="E12" s="4"/>
      <c r="F12" s="4"/>
      <c r="G12" s="4"/>
      <c r="H12" s="4"/>
      <c r="I12" s="4"/>
      <c r="J12" s="4"/>
      <c r="K12" s="4"/>
      <c r="L12" s="4"/>
      <c r="M12" s="4"/>
      <c r="N12" s="4"/>
      <c r="O12" s="4"/>
      <c r="P12" s="4"/>
      <c r="Q12" s="4"/>
      <c r="R12" s="4"/>
      <c r="S12" s="4"/>
      <c r="T12" s="4"/>
    </row>
    <row r="13" customFormat="false" ht="15" hidden="false" customHeight="false" outlineLevel="0" collapsed="false">
      <c r="A13" s="4"/>
      <c r="B13" s="4"/>
      <c r="C13" s="4"/>
      <c r="D13" s="4"/>
      <c r="E13" s="4"/>
      <c r="F13" s="4"/>
      <c r="G13" s="4"/>
      <c r="H13" s="4"/>
      <c r="I13" s="4"/>
      <c r="J13" s="4"/>
      <c r="K13" s="4"/>
      <c r="L13" s="4"/>
      <c r="M13" s="4"/>
      <c r="N13" s="4"/>
      <c r="O13" s="4"/>
      <c r="P13" s="4"/>
      <c r="Q13" s="4"/>
      <c r="R13" s="4"/>
      <c r="S13" s="4"/>
      <c r="T13" s="4"/>
    </row>
    <row r="14" customFormat="false" ht="15" hidden="false" customHeight="false" outlineLevel="0" collapsed="false">
      <c r="A14" s="4"/>
      <c r="B14" s="4"/>
      <c r="C14" s="4"/>
      <c r="D14" s="4"/>
      <c r="E14" s="4"/>
      <c r="F14" s="4"/>
      <c r="G14" s="4"/>
      <c r="H14" s="4"/>
      <c r="I14" s="4"/>
      <c r="J14" s="4"/>
      <c r="K14" s="4"/>
      <c r="L14" s="4"/>
      <c r="M14" s="4"/>
      <c r="N14" s="4"/>
      <c r="O14" s="4"/>
      <c r="P14" s="4"/>
      <c r="Q14" s="4"/>
      <c r="R14" s="4"/>
      <c r="S14" s="4"/>
      <c r="T14" s="4"/>
    </row>
    <row r="15" customFormat="false" ht="15" hidden="false" customHeight="false" outlineLevel="0" collapsed="false">
      <c r="A15" s="4"/>
      <c r="B15" s="4"/>
      <c r="C15" s="4"/>
      <c r="D15" s="4"/>
      <c r="E15" s="4"/>
      <c r="F15" s="4"/>
      <c r="G15" s="4"/>
      <c r="H15" s="4"/>
      <c r="I15" s="4"/>
      <c r="J15" s="4"/>
      <c r="K15" s="4"/>
      <c r="L15" s="4"/>
      <c r="M15" s="4"/>
      <c r="N15" s="4"/>
      <c r="O15" s="4"/>
      <c r="P15" s="4"/>
      <c r="Q15" s="4"/>
      <c r="R15" s="4"/>
      <c r="S15" s="4"/>
      <c r="T15" s="4"/>
    </row>
    <row r="16" customFormat="false" ht="15" hidden="false" customHeight="false" outlineLevel="0" collapsed="false">
      <c r="A16" s="4"/>
      <c r="B16" s="4"/>
      <c r="C16" s="4"/>
      <c r="D16" s="4"/>
      <c r="E16" s="4"/>
      <c r="F16" s="4"/>
      <c r="G16" s="4"/>
      <c r="H16" s="4"/>
      <c r="I16" s="4"/>
      <c r="J16" s="4"/>
      <c r="K16" s="4"/>
      <c r="L16" s="4"/>
      <c r="M16" s="4"/>
      <c r="N16" s="4"/>
      <c r="O16" s="4"/>
      <c r="P16" s="4"/>
      <c r="Q16" s="4"/>
      <c r="R16" s="4"/>
      <c r="S16" s="4"/>
      <c r="T16" s="4"/>
    </row>
    <row r="17" customFormat="false" ht="15" hidden="false" customHeight="false" outlineLevel="0" collapsed="false">
      <c r="A17" s="4"/>
      <c r="B17" s="4"/>
      <c r="C17" s="4"/>
      <c r="D17" s="4"/>
      <c r="E17" s="4"/>
      <c r="F17" s="4"/>
      <c r="G17" s="4"/>
      <c r="H17" s="4"/>
      <c r="I17" s="4"/>
      <c r="J17" s="4"/>
      <c r="K17" s="4"/>
      <c r="L17" s="4"/>
      <c r="M17" s="4"/>
      <c r="N17" s="4"/>
      <c r="O17" s="4"/>
      <c r="P17" s="4"/>
      <c r="Q17" s="4"/>
      <c r="R17" s="4"/>
      <c r="S17" s="4"/>
      <c r="T17" s="4"/>
    </row>
    <row r="18" customFormat="false" ht="15" hidden="false" customHeight="false" outlineLevel="0" collapsed="false">
      <c r="A18" s="4"/>
      <c r="B18" s="4"/>
      <c r="C18" s="4"/>
      <c r="D18" s="4"/>
      <c r="E18" s="4"/>
      <c r="F18" s="4"/>
      <c r="G18" s="4"/>
      <c r="H18" s="4"/>
      <c r="I18" s="4"/>
      <c r="J18" s="4"/>
      <c r="K18" s="4"/>
      <c r="L18" s="4"/>
      <c r="M18" s="4"/>
      <c r="N18" s="4"/>
      <c r="O18" s="4"/>
      <c r="P18" s="4"/>
      <c r="Q18" s="4"/>
      <c r="R18" s="4"/>
      <c r="S18" s="4"/>
      <c r="T18" s="4"/>
    </row>
    <row r="19" customFormat="false" ht="15" hidden="false" customHeight="false" outlineLevel="0" collapsed="false">
      <c r="A19" s="4"/>
      <c r="B19" s="4"/>
      <c r="C19" s="4"/>
      <c r="D19" s="4"/>
      <c r="E19" s="4"/>
      <c r="F19" s="4"/>
      <c r="G19" s="4"/>
      <c r="H19" s="4"/>
      <c r="I19" s="4"/>
      <c r="J19" s="4"/>
      <c r="K19" s="4"/>
      <c r="L19" s="4"/>
      <c r="M19" s="4"/>
      <c r="N19" s="4"/>
      <c r="O19" s="4"/>
      <c r="P19" s="4"/>
      <c r="Q19" s="4"/>
      <c r="R19" s="4"/>
      <c r="S19" s="4"/>
      <c r="T19" s="4"/>
    </row>
    <row r="20" customFormat="false" ht="15" hidden="false" customHeight="false" outlineLevel="0" collapsed="false">
      <c r="A20" s="4"/>
      <c r="B20" s="4"/>
      <c r="C20" s="4"/>
      <c r="D20" s="4"/>
      <c r="E20" s="4"/>
      <c r="F20" s="4"/>
      <c r="G20" s="4"/>
      <c r="H20" s="4"/>
      <c r="I20" s="4"/>
      <c r="J20" s="4"/>
      <c r="K20" s="4"/>
      <c r="L20" s="4"/>
      <c r="M20" s="4"/>
      <c r="N20" s="4"/>
      <c r="O20" s="4"/>
      <c r="P20" s="4"/>
      <c r="Q20" s="4"/>
      <c r="R20" s="4"/>
      <c r="S20" s="4"/>
      <c r="T20" s="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2026-10-11T12:44:38Z</dcterms:created>
  <dc:creator>openpyxl</dc:creator>
  <dc:description/>
  <dc:language>en-US</dc:language>
  <cp:lastModifiedBy/>
  <dcterms:modified xsi:type="dcterms:W3CDTF">2026-10-11T12:44:38Z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